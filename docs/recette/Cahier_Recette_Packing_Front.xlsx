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_de_recette" sheetId="1" r:id="rId1"/>
    <sheet name="Synthese" sheetId="2" r:id="rId2"/>
    <sheet name="Parametres" sheetId="3" r:id="rId3"/>
  </sheets>
  <definedNames>
    <definedName name="_xlnm._FilterDatabase" localSheetId="0">'Cas_de_recette'!A1:R115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5"/>
  <sheetViews>
    <sheetView workbookViewId="0"/>
  </sheetViews>
  <cols>
    <col min="1" max="1" width="10.83203125" customWidth="1"/>
    <col min="2" max="2" width="18.83203125" customWidth="1"/>
    <col min="3" max="3" width="24.83203125" customWidth="1"/>
    <col min="4" max="4" width="44.83203125" customWidth="1"/>
    <col min="5" max="5" width="40.83203125" customWidth="1"/>
    <col min="6" max="6" width="56.83203125" customWidth="1"/>
    <col min="7" max="7" width="52.83203125" customWidth="1"/>
    <col min="8" max="8" width="28.83203125" customWidth="1"/>
    <col min="9" max="9" width="10.83203125" customWidth="1"/>
    <col min="10" max="10" width="12.83203125" customWidth="1"/>
    <col min="11" max="11" width="12.83203125" customWidth="1"/>
    <col min="12" max="12" width="35.83203125" customWidth="1"/>
    <col min="13" max="13" width="16.83203125" customWidth="1"/>
    <col min="14" max="14" width="14.83203125" customWidth="1"/>
    <col min="15" max="15" width="14.83203125" customWidth="1"/>
    <col min="16" max="16" width="16.83203125" customWidth="1"/>
    <col min="17" max="17" width="34.83203125" customWidth="1"/>
    <col min="18" max="18" width="8.83203125" customWidth="1"/>
  </cols>
  <sheetData>
    <row r="1">
      <c r="A1" t="str">
        <v>id</v>
      </c>
      <c r="B1" t="str">
        <v>domaine</v>
      </c>
      <c r="C1" t="str">
        <v>sous_domaine</v>
      </c>
      <c r="D1" t="str">
        <v>titre_test</v>
      </c>
      <c r="E1" t="str">
        <v>pre_requis</v>
      </c>
      <c r="F1" t="str">
        <v>etapes</v>
      </c>
      <c r="G1" t="str">
        <v>resultat_attendu</v>
      </c>
      <c r="H1" t="str">
        <v>donnees_test</v>
      </c>
      <c r="I1" t="str">
        <v>priorite</v>
      </c>
      <c r="J1" t="str">
        <v>type_test</v>
      </c>
      <c r="K1" t="str">
        <v>statut_exec</v>
      </c>
      <c r="L1" t="str">
        <v>resultat_observe</v>
      </c>
      <c r="M1" t="str">
        <v>ticket_anomalie</v>
      </c>
      <c r="N1" t="str">
        <v>testeur</v>
      </c>
      <c r="O1" t="str">
        <v>date_execution</v>
      </c>
      <c r="P1" t="str">
        <v>build_version</v>
      </c>
      <c r="Q1" t="str">
        <v>regle_couverte</v>
      </c>
      <c r="R1" t="str">
        <v>poids</v>
      </c>
    </row>
    <row r="2">
      <c r="A2" t="str">
        <v>PK-001</v>
      </c>
      <c r="B2" t="str">
        <v>Navigation</v>
      </c>
      <c r="C2" t="str">
        <v>Liste packing</v>
      </c>
      <c r="D2" t="str">
        <v>Ouverture de la page liste packing</v>
      </c>
      <c r="E2" t="str">
        <v>Utilisateur authentifie avec droit packings.read.</v>
      </c>
      <c r="F2" t="str">
        <v>Naviguer vers /packings.</v>
      </c>
      <c r="G2" t="str">
        <v>La liste se charge sans erreur; spinner puis donnees/etat vide.</v>
      </c>
      <c r="H2" t="str">
        <v/>
      </c>
      <c r="I2" t="str">
        <v>Critique</v>
      </c>
      <c r="J2" t="str">
        <v>Positif</v>
      </c>
      <c r="K2" t="str">
        <v>NON TESTE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GET /packings</v>
      </c>
      <c r="R2">
        <v>5</v>
      </c>
    </row>
    <row r="3">
      <c r="A3" t="str">
        <v>PK-002</v>
      </c>
      <c r="B3" t="str">
        <v>Navigation</v>
      </c>
      <c r="C3" t="str">
        <v>Creation packing</v>
      </c>
      <c r="D3" t="str">
        <v>Ouverture ecran creation</v>
      </c>
      <c r="E3" t="str">
        <v>Utilisateur avec droit packings.create.</v>
      </c>
      <c r="F3" t="str">
        <v>Cliquer sur Nouveau packing depuis la liste.</v>
      </c>
      <c r="G3" t="str">
        <v>Le formulaire de creation s affiche avec les champs attendus.</v>
      </c>
      <c r="H3" t="str">
        <v/>
      </c>
      <c r="I3" t="str">
        <v>Haute</v>
      </c>
      <c r="J3" t="str">
        <v>Positif</v>
      </c>
      <c r="K3" t="str">
        <v>NON TESTE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Routing /packings/packings-new</v>
      </c>
      <c r="R3">
        <v>4</v>
      </c>
    </row>
    <row r="4">
      <c r="A4" t="str">
        <v>PK-003</v>
      </c>
      <c r="B4" t="str">
        <v>Navigation</v>
      </c>
      <c r="C4" t="str">
        <v>Edition packing</v>
      </c>
      <c r="D4" t="str">
        <v>Ouverture ecran edition depuis la liste</v>
      </c>
      <c r="E4" t="str">
        <v>Au moins un packing existe et droit packings.update.</v>
      </c>
      <c r="F4" t="str">
        <v>Cliquer sur Modifier depuis une ligne de la liste.</v>
      </c>
      <c r="G4" t="str">
        <v>La page edition s ouvre et pre-remplit le packing cible.</v>
      </c>
      <c r="H4" t="str">
        <v/>
      </c>
      <c r="I4" t="str">
        <v>Haute</v>
      </c>
      <c r="J4" t="str">
        <v>Positif</v>
      </c>
      <c r="K4" t="str">
        <v>NON TESTE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GET /packings/{id}</v>
      </c>
      <c r="R4">
        <v>4</v>
      </c>
    </row>
    <row r="5">
      <c r="A5" t="str">
        <v>PK-004</v>
      </c>
      <c r="B5" t="str">
        <v>Navigation</v>
      </c>
      <c r="C5" t="str">
        <v>Bouton retour formulaire</v>
      </c>
      <c r="D5" t="str">
        <v>Annulation creation renvoie vers la liste</v>
      </c>
      <c r="E5" t="str">
        <v>Formulaire creation ouvert.</v>
      </c>
      <c r="F5" t="str">
        <v>Cliquer sur Retour/Annuler.</v>
      </c>
      <c r="G5" t="str">
        <v>Retour vers /packings sans creation.</v>
      </c>
      <c r="H5" t="str">
        <v/>
      </c>
      <c r="I5" t="str">
        <v>Moyenne</v>
      </c>
      <c r="J5" t="str">
        <v>Positif</v>
      </c>
      <c r="K5" t="str">
        <v>NON TESTE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>
        <v>3</v>
      </c>
    </row>
    <row r="6">
      <c r="A6" t="str">
        <v>PK-005</v>
      </c>
      <c r="B6" t="str">
        <v>Navigation</v>
      </c>
      <c r="C6" t="str">
        <v>Bouton retour formulaire</v>
      </c>
      <c r="D6" t="str">
        <v>Annulation edition renvoie vers la liste</v>
      </c>
      <c r="E6" t="str">
        <v>Formulaire edition ouvert.</v>
      </c>
      <c r="F6" t="str">
        <v>Cliquer sur Retour/Annuler.</v>
      </c>
      <c r="G6" t="str">
        <v>Retour vers /packings sans sauvegarde.</v>
      </c>
      <c r="H6" t="str">
        <v/>
      </c>
      <c r="I6" t="str">
        <v>Moyenne</v>
      </c>
      <c r="J6" t="str">
        <v>Positif</v>
      </c>
      <c r="K6" t="str">
        <v>NON TESTE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>
        <v>3</v>
      </c>
    </row>
    <row r="7">
      <c r="A7" t="str">
        <v>PK-006</v>
      </c>
      <c r="B7" t="str">
        <v>UX</v>
      </c>
      <c r="C7" t="str">
        <v>Formulaire packing</v>
      </c>
      <c r="D7" t="str">
        <v>Affichage du montant calcule en temps reel</v>
      </c>
      <c r="E7" t="str">
        <v>Formulaire creation ouvert.</v>
      </c>
      <c r="F7" t="str">
        <v>Saisir nb_rouleaux=12 puis prix_par_rouleau=35000.</v>
      </c>
      <c r="G7" t="str">
        <v>Montant total affiche 420000 GNF sans rechargement.</v>
      </c>
      <c r="H7" t="str">
        <v>12 x 35000</v>
      </c>
      <c r="I7" t="str">
        <v>Haute</v>
      </c>
      <c r="J7" t="str">
        <v>Positif</v>
      </c>
      <c r="K7" t="str">
        <v>NON TESTE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montant = nb_rouleaux * prix_par_rouleau</v>
      </c>
      <c r="R7">
        <v>4</v>
      </c>
    </row>
    <row r="8">
      <c r="A8" t="str">
        <v>PK-007</v>
      </c>
      <c r="B8" t="str">
        <v>UX</v>
      </c>
      <c r="C8" t="str">
        <v>Formulaire packing</v>
      </c>
      <c r="D8" t="str">
        <v>Soumission via touche Entree</v>
      </c>
      <c r="E8" t="str">
        <v>Formulaire valide.</v>
      </c>
      <c r="F8" t="str">
        <v>Completer tous les champs requis puis appuyer sur Entree.</v>
      </c>
      <c r="G8" t="str">
        <v>La soumission est declenchee une seule fois.</v>
      </c>
      <c r="H8" t="str">
        <v/>
      </c>
      <c r="I8" t="str">
        <v>Moyenne</v>
      </c>
      <c r="J8" t="str">
        <v>Robustesse</v>
      </c>
      <c r="K8" t="str">
        <v>NON TESTE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>
        <v>3</v>
      </c>
    </row>
    <row r="9">
      <c r="A9" t="str">
        <v>PK-008</v>
      </c>
      <c r="B9" t="str">
        <v>UX</v>
      </c>
      <c r="C9" t="str">
        <v>Chargement</v>
      </c>
      <c r="D9" t="str">
        <v>Etat loading pendant creation</v>
      </c>
      <c r="E9" t="str">
        <v>Reseau lent simule (throttling).</v>
      </c>
      <c r="F9" t="str">
        <v>Soumettre un packing valide en creation.</v>
      </c>
      <c r="G9" t="str">
        <v>Overlay/loading visible; bouton desactive; pas de double envoi.</v>
      </c>
      <c r="H9" t="str">
        <v/>
      </c>
      <c r="I9" t="str">
        <v>Haute</v>
      </c>
      <c r="J9" t="str">
        <v>Robustesse</v>
      </c>
      <c r="K9" t="str">
        <v>NON TESTE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>
        <v>4</v>
      </c>
    </row>
    <row r="10">
      <c r="A10" t="str">
        <v>PK-009</v>
      </c>
      <c r="B10" t="str">
        <v>UX</v>
      </c>
      <c r="C10" t="str">
        <v>Chargement</v>
      </c>
      <c r="D10" t="str">
        <v>Etat loading pendant edition</v>
      </c>
      <c r="E10" t="str">
        <v>Ecran edition ouvert.</v>
      </c>
      <c r="F10" t="str">
        <v>Modifier un champ et sauvegarder.</v>
      </c>
      <c r="G10" t="str">
        <v>Bouton loading actif, puis retour liste apres succes.</v>
      </c>
      <c r="H10" t="str">
        <v/>
      </c>
      <c r="I10" t="str">
        <v>Moyenne</v>
      </c>
      <c r="J10" t="str">
        <v>Robustesse</v>
      </c>
      <c r="K10" t="str">
        <v>NON TESTE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>
        <v>3</v>
      </c>
    </row>
    <row r="11">
      <c r="A11" t="str">
        <v>PK-010</v>
      </c>
      <c r="B11" t="str">
        <v>Creation/Edition</v>
      </c>
      <c r="C11" t="str">
        <v>Validation front Desktop</v>
      </c>
      <c r="D11" t="str">
        <v>Desktop - Champ obligatoire: Machiniste</v>
      </c>
      <c r="E11" t="str">
        <v>Utilisateur connecte avec droit create; liste des prestataires chargee; parametre prix par rouleau configure.</v>
      </c>
      <c r="F11" t="str">
        <v>Ouvrir l'ecran Desktop; laisser le prestataire vide puis enregistrer.</v>
      </c>
      <c r="G11" t="str">
        <v>blocage front avec message de champ requis</v>
      </c>
      <c r="H11" t="str">
        <v/>
      </c>
      <c r="I11" t="str">
        <v>Haute</v>
      </c>
      <c r="J11" t="str">
        <v>Negatif</v>
      </c>
      <c r="K11" t="str">
        <v>NON TESTE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prestataire_id.required</v>
      </c>
      <c r="R11">
        <v>4</v>
      </c>
    </row>
    <row r="12">
      <c r="A12" t="str">
        <v>PK-011</v>
      </c>
      <c r="B12" t="str">
        <v>Creation/Edition</v>
      </c>
      <c r="C12" t="str">
        <v>Validation front Desktop</v>
      </c>
      <c r="D12" t="str">
        <v>Desktop - Champ obligatoire: Date</v>
      </c>
      <c r="E12" t="str">
        <v>Utilisateur connecte avec droit create; liste des prestataires chargee; parametre prix par rouleau configure.</v>
      </c>
      <c r="F12" t="str">
        <v>Ouvrir l'ecran Desktop; vider la date puis enregistrer.</v>
      </c>
      <c r="G12" t="str">
        <v>blocage front avec message date obligatoire</v>
      </c>
      <c r="H12" t="str">
        <v/>
      </c>
      <c r="I12" t="str">
        <v>Haute</v>
      </c>
      <c r="J12" t="str">
        <v>Negatif</v>
      </c>
      <c r="K12" t="str">
        <v>NON TESTE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date.required</v>
      </c>
      <c r="R12">
        <v>4</v>
      </c>
    </row>
    <row r="13">
      <c r="A13" t="str">
        <v>PK-012</v>
      </c>
      <c r="B13" t="str">
        <v>Creation/Edition</v>
      </c>
      <c r="C13" t="str">
        <v>Validation front Desktop</v>
      </c>
      <c r="D13" t="str">
        <v>Desktop - Champ obligatoire: Nombre de rouleaux</v>
      </c>
      <c r="E13" t="str">
        <v>Utilisateur connecte avec droit create; liste des prestataires chargee; parametre prix par rouleau configure.</v>
      </c>
      <c r="F13" t="str">
        <v>Ouvrir l'ecran Desktop; mettre 0 puis enregistrer.</v>
      </c>
      <c r="G13" t="str">
        <v>blocage front sur nb_rouleaux &gt; 0</v>
      </c>
      <c r="H13" t="str">
        <v/>
      </c>
      <c r="I13" t="str">
        <v>Haute</v>
      </c>
      <c r="J13" t="str">
        <v>Negatif</v>
      </c>
      <c r="K13" t="str">
        <v>NON TESTE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nb_rouleaux.required / min metier front</v>
      </c>
      <c r="R13">
        <v>4</v>
      </c>
    </row>
    <row r="14">
      <c r="A14" t="str">
        <v>PK-013</v>
      </c>
      <c r="B14" t="str">
        <v>Creation/Edition</v>
      </c>
      <c r="C14" t="str">
        <v>Validation front Desktop</v>
      </c>
      <c r="D14" t="str">
        <v>Desktop - Champ obligatoire: Prix par rouleau</v>
      </c>
      <c r="E14" t="str">
        <v>Utilisateur connecte avec droit create; liste des prestataires chargee; parametre prix par rouleau configure.</v>
      </c>
      <c r="F14" t="str">
        <v>Ouvrir l'ecran Desktop; mettre 0 puis enregistrer.</v>
      </c>
      <c r="G14" t="str">
        <v>blocage front sur prix_par_rouleau &gt; 0</v>
      </c>
      <c r="H14" t="str">
        <v/>
      </c>
      <c r="I14" t="str">
        <v>Haute</v>
      </c>
      <c r="J14" t="str">
        <v>Negatif</v>
      </c>
      <c r="K14" t="str">
        <v>NON TESTE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prix_par_rouleau.required / min metier front</v>
      </c>
      <c r="R14">
        <v>4</v>
      </c>
    </row>
    <row r="15">
      <c r="A15" t="str">
        <v>PK-014</v>
      </c>
      <c r="B15" t="str">
        <v>Creation/Edition</v>
      </c>
      <c r="C15" t="str">
        <v>Validation front Mobile</v>
      </c>
      <c r="D15" t="str">
        <v>Mobile - Champ obligatoire: Machiniste</v>
      </c>
      <c r="E15" t="str">
        <v>Utilisateur connecte avec droit create; liste des prestataires chargee; parametre prix par rouleau configure.</v>
      </c>
      <c r="F15" t="str">
        <v>Ouvrir l'ecran Mobile; laisser le prestataire vide puis enregistrer.</v>
      </c>
      <c r="G15" t="str">
        <v>blocage front avec message de champ requis</v>
      </c>
      <c r="H15" t="str">
        <v/>
      </c>
      <c r="I15" t="str">
        <v>Haute</v>
      </c>
      <c r="J15" t="str">
        <v>Negatif</v>
      </c>
      <c r="K15" t="str">
        <v>NON TESTE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prestataire_id.required</v>
      </c>
      <c r="R15">
        <v>4</v>
      </c>
    </row>
    <row r="16">
      <c r="A16" t="str">
        <v>PK-015</v>
      </c>
      <c r="B16" t="str">
        <v>Creation/Edition</v>
      </c>
      <c r="C16" t="str">
        <v>Validation front Mobile</v>
      </c>
      <c r="D16" t="str">
        <v>Mobile - Champ obligatoire: Date</v>
      </c>
      <c r="E16" t="str">
        <v>Utilisateur connecte avec droit create; liste des prestataires chargee; parametre prix par rouleau configure.</v>
      </c>
      <c r="F16" t="str">
        <v>Ouvrir l'ecran Mobile; vider la date puis enregistrer.</v>
      </c>
      <c r="G16" t="str">
        <v>blocage front avec message date obligatoire</v>
      </c>
      <c r="H16" t="str">
        <v/>
      </c>
      <c r="I16" t="str">
        <v>Haute</v>
      </c>
      <c r="J16" t="str">
        <v>Negatif</v>
      </c>
      <c r="K16" t="str">
        <v>NON TESTE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date.required</v>
      </c>
      <c r="R16">
        <v>4</v>
      </c>
    </row>
    <row r="17">
      <c r="A17" t="str">
        <v>PK-016</v>
      </c>
      <c r="B17" t="str">
        <v>Creation/Edition</v>
      </c>
      <c r="C17" t="str">
        <v>Validation front Mobile</v>
      </c>
      <c r="D17" t="str">
        <v>Mobile - Champ obligatoire: Nombre de rouleaux</v>
      </c>
      <c r="E17" t="str">
        <v>Utilisateur connecte avec droit create; liste des prestataires chargee; parametre prix par rouleau configure.</v>
      </c>
      <c r="F17" t="str">
        <v>Ouvrir l'ecran Mobile; mettre 0 puis enregistrer.</v>
      </c>
      <c r="G17" t="str">
        <v>blocage front sur nb_rouleaux &gt; 0</v>
      </c>
      <c r="H17" t="str">
        <v/>
      </c>
      <c r="I17" t="str">
        <v>Haute</v>
      </c>
      <c r="J17" t="str">
        <v>Negatif</v>
      </c>
      <c r="K17" t="str">
        <v>NON TESTE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nb_rouleaux.required / min metier front</v>
      </c>
      <c r="R17">
        <v>4</v>
      </c>
    </row>
    <row r="18">
      <c r="A18" t="str">
        <v>PK-017</v>
      </c>
      <c r="B18" t="str">
        <v>Creation/Edition</v>
      </c>
      <c r="C18" t="str">
        <v>Validation front Mobile</v>
      </c>
      <c r="D18" t="str">
        <v>Mobile - Champ obligatoire: Prix par rouleau</v>
      </c>
      <c r="E18" t="str">
        <v>Utilisateur connecte avec droit create; liste des prestataires chargee; parametre prix par rouleau configure.</v>
      </c>
      <c r="F18" t="str">
        <v>Ouvrir l'ecran Mobile; mettre 0 puis enregistrer.</v>
      </c>
      <c r="G18" t="str">
        <v>blocage front sur prix_par_rouleau &gt; 0</v>
      </c>
      <c r="H18" t="str">
        <v/>
      </c>
      <c r="I18" t="str">
        <v>Haute</v>
      </c>
      <c r="J18" t="str">
        <v>Negatif</v>
      </c>
      <c r="K18" t="str">
        <v>NON TESTE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prix_par_rouleau.required / min metier front</v>
      </c>
      <c r="R18">
        <v>4</v>
      </c>
    </row>
    <row r="19">
      <c r="A19" t="str">
        <v>PK-018</v>
      </c>
      <c r="B19" t="str">
        <v>Validation Front</v>
      </c>
      <c r="C19" t="str">
        <v>Selection prestataire</v>
      </c>
      <c r="D19" t="str">
        <v>Filtre prestataires: seuls les machinistes (sauf selection existante) sont visibles</v>
      </c>
      <c r="E19" t="str">
        <v>Prestataires de types differents disponibles en base.</v>
      </c>
      <c r="F19" t="str">
        <v>Ouvrir le select prestataire dans le formulaire desktop.</v>
      </c>
      <c r="G19" t="str">
        <v>La liste montre les machinistes; la valeur deja selectionnee reste visible.</v>
      </c>
      <c r="H19" t="str">
        <v/>
      </c>
      <c r="I19" t="str">
        <v>Moyenne</v>
      </c>
      <c r="J19" t="str">
        <v>Positif</v>
      </c>
      <c r="K19" t="str">
        <v>NON TESTE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>
        <v>3</v>
      </c>
    </row>
    <row r="20">
      <c r="A20" t="str">
        <v>PK-019</v>
      </c>
      <c r="B20" t="str">
        <v>Validation Front</v>
      </c>
      <c r="C20" t="str">
        <v>Date</v>
      </c>
      <c r="D20" t="str">
        <v>Format date envoye au backend</v>
      </c>
      <c r="E20" t="str">
        <v>Formulaire creation pret.</v>
      </c>
      <c r="F20" t="str">
        <v>Selectionner une date et soumettre; observer payload reseau.</v>
      </c>
      <c r="G20" t="str">
        <v>Le champ date est envoye au format YYYY-MM-DD.</v>
      </c>
      <c r="H20" t="str">
        <v/>
      </c>
      <c r="I20" t="str">
        <v>Haute</v>
      </c>
      <c r="J20" t="str">
        <v>Robustesse</v>
      </c>
      <c r="K20" t="str">
        <v>NON TESTE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formatDate().split("T")[0]</v>
      </c>
      <c r="R20">
        <v>4</v>
      </c>
    </row>
    <row r="21">
      <c r="A21" t="str">
        <v>PK-020</v>
      </c>
      <c r="B21" t="str">
        <v>Validation Front</v>
      </c>
      <c r="C21" t="str">
        <v>Prix par defaut</v>
      </c>
      <c r="D21" t="str">
        <v>Prefill du prix par rouleau depuis parametre</v>
      </c>
      <c r="E21" t="str">
        <v>Parametre prix_rouleau_defaut configure &gt; 0.</v>
      </c>
      <c r="F21" t="str">
        <v>Ouvrir la creation packing.</v>
      </c>
      <c r="G21" t="str">
        <v>Le champ prix_par_rouleau est pre-rempli avec la valeur par defaut.</v>
      </c>
      <c r="H21" t="str">
        <v/>
      </c>
      <c r="I21" t="str">
        <v>Haute</v>
      </c>
      <c r="J21" t="str">
        <v>Positif</v>
      </c>
      <c r="K21" t="str">
        <v>NON TESTE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GET prix rouleau defaut</v>
      </c>
      <c r="R21">
        <v>4</v>
      </c>
    </row>
    <row r="22">
      <c r="A22" t="str">
        <v>PK-021</v>
      </c>
      <c r="B22" t="str">
        <v>Validation API</v>
      </c>
      <c r="C22" t="str">
        <v>StorePackingRequest</v>
      </c>
      <c r="D22" t="str">
        <v>API create - prestataire_id obligatoire</v>
      </c>
      <c r="E22" t="str">
        <v>Acces API create packing; token valide.</v>
      </c>
      <c r="F22" t="str">
        <v>Depuis le front (DevTools/Replay) ou Postman, envoyer un payload invalide: prestataire_id absent.</v>
      </c>
      <c r="G22" t="str">
        <v>422 + message "Le prestataire est obligatoire."</v>
      </c>
      <c r="H22" t="str">
        <v>prestataire_id absent</v>
      </c>
      <c r="I22" t="str">
        <v>Critique</v>
      </c>
      <c r="J22" t="str">
        <v>Negatif</v>
      </c>
      <c r="K22" t="str">
        <v>NON TESTE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prestataire_id.required</v>
      </c>
      <c r="R22">
        <v>5</v>
      </c>
    </row>
    <row r="23">
      <c r="A23" t="str">
        <v>PK-022</v>
      </c>
      <c r="B23" t="str">
        <v>Validation API</v>
      </c>
      <c r="C23" t="str">
        <v>StorePackingRequest</v>
      </c>
      <c r="D23" t="str">
        <v>API create - prestataire_id entier</v>
      </c>
      <c r="E23" t="str">
        <v>Acces API create packing; token valide.</v>
      </c>
      <c r="F23" t="str">
        <v>Depuis le front (DevTools/Replay) ou Postman, envoyer un payload invalide: prestataire_id = "abc".</v>
      </c>
      <c r="G23" t="str">
        <v>422 + message "Le prestataire est invalide."</v>
      </c>
      <c r="H23" t="str">
        <v>prestataire_id = "abc"</v>
      </c>
      <c r="I23" t="str">
        <v>Critique</v>
      </c>
      <c r="J23" t="str">
        <v>Negatif</v>
      </c>
      <c r="K23" t="str">
        <v>NON TESTE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prestataire_id.integer</v>
      </c>
      <c r="R23">
        <v>5</v>
      </c>
    </row>
    <row r="24">
      <c r="A24" t="str">
        <v>PK-023</v>
      </c>
      <c r="B24" t="str">
        <v>Validation API</v>
      </c>
      <c r="C24" t="str">
        <v>StorePackingRequest</v>
      </c>
      <c r="D24" t="str">
        <v>API create - prestataire_id existe dans usine courante</v>
      </c>
      <c r="E24" t="str">
        <v>Acces API create packing; token valide.</v>
      </c>
      <c r="F24" t="str">
        <v>Depuis le front (DevTools/Replay) ou Postman, envoyer un payload invalide: prestataire_id d une autre usine.</v>
      </c>
      <c r="G24" t="str">
        <v>422 + message "Le prestataire selectionne est introuvable."</v>
      </c>
      <c r="H24" t="str">
        <v>prestataire_id d une autre usine</v>
      </c>
      <c r="I24" t="str">
        <v>Critique</v>
      </c>
      <c r="J24" t="str">
        <v>Negatif</v>
      </c>
      <c r="K24" t="str">
        <v>NON TESTE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prestataire exists + scope usine</v>
      </c>
      <c r="R24">
        <v>5</v>
      </c>
    </row>
    <row r="25">
      <c r="A25" t="str">
        <v>PK-024</v>
      </c>
      <c r="B25" t="str">
        <v>Validation API</v>
      </c>
      <c r="C25" t="str">
        <v>StorePackingRequest</v>
      </c>
      <c r="D25" t="str">
        <v>API create - date obligatoire</v>
      </c>
      <c r="E25" t="str">
        <v>Acces API create packing; token valide.</v>
      </c>
      <c r="F25" t="str">
        <v>Depuis le front (DevTools/Replay) ou Postman, envoyer un payload invalide: date absente.</v>
      </c>
      <c r="G25" t="str">
        <v>422 + message "La date est obligatoire."</v>
      </c>
      <c r="H25" t="str">
        <v>date absente</v>
      </c>
      <c r="I25" t="str">
        <v>Critique</v>
      </c>
      <c r="J25" t="str">
        <v>Negatif</v>
      </c>
      <c r="K25" t="str">
        <v>NON TESTE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date.required</v>
      </c>
      <c r="R25">
        <v>5</v>
      </c>
    </row>
    <row r="26">
      <c r="A26" t="str">
        <v>PK-025</v>
      </c>
      <c r="B26" t="str">
        <v>Validation API</v>
      </c>
      <c r="C26" t="str">
        <v>StorePackingRequest</v>
      </c>
      <c r="D26" t="str">
        <v>API create - date valide</v>
      </c>
      <c r="E26" t="str">
        <v>Acces API create packing; token valide.</v>
      </c>
      <c r="F26" t="str">
        <v>Depuis le front (DevTools/Replay) ou Postman, envoyer un payload invalide: date = "31-31-2026".</v>
      </c>
      <c r="G26" t="str">
        <v>422 + message "La date est invalide."</v>
      </c>
      <c r="H26" t="str">
        <v>date = "31-31-2026"</v>
      </c>
      <c r="I26" t="str">
        <v>Critique</v>
      </c>
      <c r="J26" t="str">
        <v>Negatif</v>
      </c>
      <c r="K26" t="str">
        <v>NON TESTE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date.date</v>
      </c>
      <c r="R26">
        <v>5</v>
      </c>
    </row>
    <row r="27">
      <c r="A27" t="str">
        <v>PK-026</v>
      </c>
      <c r="B27" t="str">
        <v>Validation API</v>
      </c>
      <c r="C27" t="str">
        <v>StorePackingRequest</v>
      </c>
      <c r="D27" t="str">
        <v>API create - nb_rouleaux obligatoire</v>
      </c>
      <c r="E27" t="str">
        <v>Acces API create packing; token valide.</v>
      </c>
      <c r="F27" t="str">
        <v>Depuis le front (DevTools/Replay) ou Postman, envoyer un payload invalide: nb_rouleaux absent.</v>
      </c>
      <c r="G27" t="str">
        <v>422 + message "Le nombre de rouleaux est obligatoire."</v>
      </c>
      <c r="H27" t="str">
        <v>nb_rouleaux absent</v>
      </c>
      <c r="I27" t="str">
        <v>Critique</v>
      </c>
      <c r="J27" t="str">
        <v>Negatif</v>
      </c>
      <c r="K27" t="str">
        <v>NON TESTE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nb_rouleaux.required</v>
      </c>
      <c r="R27">
        <v>5</v>
      </c>
    </row>
    <row r="28">
      <c r="A28" t="str">
        <v>PK-027</v>
      </c>
      <c r="B28" t="str">
        <v>Validation API</v>
      </c>
      <c r="C28" t="str">
        <v>StorePackingRequest</v>
      </c>
      <c r="D28" t="str">
        <v>API create - nb_rouleaux entier</v>
      </c>
      <c r="E28" t="str">
        <v>Acces API create packing; token valide.</v>
      </c>
      <c r="F28" t="str">
        <v>Depuis le front (DevTools/Replay) ou Postman, envoyer un payload invalide: nb_rouleaux = 2.5.</v>
      </c>
      <c r="G28" t="str">
        <v>422 + message "Le nombre de rouleaux doit etre un entier."</v>
      </c>
      <c r="H28" t="str">
        <v>nb_rouleaux = 2.5</v>
      </c>
      <c r="I28" t="str">
        <v>Critique</v>
      </c>
      <c r="J28" t="str">
        <v>Negatif</v>
      </c>
      <c r="K28" t="str">
        <v>NON TESTE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nb_rouleaux.integer</v>
      </c>
      <c r="R28">
        <v>5</v>
      </c>
    </row>
    <row r="29">
      <c r="A29" t="str">
        <v>PK-028</v>
      </c>
      <c r="B29" t="str">
        <v>Validation API</v>
      </c>
      <c r="C29" t="str">
        <v>StorePackingRequest</v>
      </c>
      <c r="D29" t="str">
        <v>API create - nb_rouleaux &gt;= 0</v>
      </c>
      <c r="E29" t="str">
        <v>Acces API create packing; token valide.</v>
      </c>
      <c r="F29" t="str">
        <v>Depuis le front (DevTools/Replay) ou Postman, envoyer un payload invalide: nb_rouleaux = -1.</v>
      </c>
      <c r="G29" t="str">
        <v>422 + message "Le nombre de rouleaux ne peut pas etre negatif."</v>
      </c>
      <c r="H29" t="str">
        <v>nb_rouleaux = -1</v>
      </c>
      <c r="I29" t="str">
        <v>Critique</v>
      </c>
      <c r="J29" t="str">
        <v>Negatif</v>
      </c>
      <c r="K29" t="str">
        <v>NON TESTE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nb_rouleaux.min</v>
      </c>
      <c r="R29">
        <v>5</v>
      </c>
    </row>
    <row r="30">
      <c r="A30" t="str">
        <v>PK-029</v>
      </c>
      <c r="B30" t="str">
        <v>Validation API</v>
      </c>
      <c r="C30" t="str">
        <v>StorePackingRequest</v>
      </c>
      <c r="D30" t="str">
        <v>API create - prix_par_rouleau entier</v>
      </c>
      <c r="E30" t="str">
        <v>Acces API create packing; token valide.</v>
      </c>
      <c r="F30" t="str">
        <v>Depuis le front (DevTools/Replay) ou Postman, envoyer un payload invalide: prix_par_rouleau = "abc".</v>
      </c>
      <c r="G30" t="str">
        <v>422 + message "Le prix par rouleau doit etre un entier."</v>
      </c>
      <c r="H30" t="str">
        <v>prix_par_rouleau = "abc"</v>
      </c>
      <c r="I30" t="str">
        <v>Critique</v>
      </c>
      <c r="J30" t="str">
        <v>Negatif</v>
      </c>
      <c r="K30" t="str">
        <v>NON TESTE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prix_par_rouleau.integer</v>
      </c>
      <c r="R30">
        <v>5</v>
      </c>
    </row>
    <row r="31">
      <c r="A31" t="str">
        <v>PK-030</v>
      </c>
      <c r="B31" t="str">
        <v>Validation API</v>
      </c>
      <c r="C31" t="str">
        <v>StorePackingRequest</v>
      </c>
      <c r="D31" t="str">
        <v>API create - prix_par_rouleau &gt;= 0</v>
      </c>
      <c r="E31" t="str">
        <v>Acces API create packing; token valide.</v>
      </c>
      <c r="F31" t="str">
        <v>Depuis le front (DevTools/Replay) ou Postman, envoyer un payload invalide: prix_par_rouleau = -100.</v>
      </c>
      <c r="G31" t="str">
        <v>422 + message "Le prix par rouleau ne peut pas etre negatif."</v>
      </c>
      <c r="H31" t="str">
        <v>prix_par_rouleau = -100</v>
      </c>
      <c r="I31" t="str">
        <v>Critique</v>
      </c>
      <c r="J31" t="str">
        <v>Negatif</v>
      </c>
      <c r="K31" t="str">
        <v>NON TESTE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prix_par_rouleau.min</v>
      </c>
      <c r="R31">
        <v>5</v>
      </c>
    </row>
    <row r="32">
      <c r="A32" t="str">
        <v>PK-031</v>
      </c>
      <c r="B32" t="str">
        <v>Validation API</v>
      </c>
      <c r="C32" t="str">
        <v>StorePackingRequest</v>
      </c>
      <c r="D32" t="str">
        <v>API create - statut enum valide</v>
      </c>
      <c r="E32" t="str">
        <v>Acces API create packing; token valide.</v>
      </c>
      <c r="F32" t="str">
        <v>Depuis le front (DevTools/Replay) ou Postman, envoyer un payload invalide: statut = "pending".</v>
      </c>
      <c r="G32" t="str">
        <v>422 + message sur enum a_valider|valide|annule</v>
      </c>
      <c r="H32" t="str">
        <v>statut = "pending"</v>
      </c>
      <c r="I32" t="str">
        <v>Critique</v>
      </c>
      <c r="J32" t="str">
        <v>Negatif</v>
      </c>
      <c r="K32" t="str">
        <v>NON TESTE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statut.enum</v>
      </c>
      <c r="R32">
        <v>5</v>
      </c>
    </row>
    <row r="33">
      <c r="A33" t="str">
        <v>PK-032</v>
      </c>
      <c r="B33" t="str">
        <v>Validation API</v>
      </c>
      <c r="C33" t="str">
        <v>StorePackingRequest</v>
      </c>
      <c r="D33" t="str">
        <v>API create - facture_id entier</v>
      </c>
      <c r="E33" t="str">
        <v>Acces API create packing; token valide.</v>
      </c>
      <c r="F33" t="str">
        <v>Depuis le front (DevTools/Replay) ou Postman, envoyer un payload invalide: facture_id = "xyz".</v>
      </c>
      <c r="G33" t="str">
        <v>422 + message "La facture est invalide."</v>
      </c>
      <c r="H33" t="str">
        <v>facture_id = "xyz"</v>
      </c>
      <c r="I33" t="str">
        <v>Critique</v>
      </c>
      <c r="J33" t="str">
        <v>Negatif</v>
      </c>
      <c r="K33" t="str">
        <v>NON TESTE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facture_id.integer</v>
      </c>
      <c r="R33">
        <v>5</v>
      </c>
    </row>
    <row r="34">
      <c r="A34" t="str">
        <v>PK-033</v>
      </c>
      <c r="B34" t="str">
        <v>Validation API</v>
      </c>
      <c r="C34" t="str">
        <v>StorePackingRequest</v>
      </c>
      <c r="D34" t="str">
        <v>API create - facture_id existe dans usine courante</v>
      </c>
      <c r="E34" t="str">
        <v>Acces API create packing; token valide.</v>
      </c>
      <c r="F34" t="str">
        <v>Depuis le front (DevTools/Replay) ou Postman, envoyer un payload invalide: facture_id autre usine.</v>
      </c>
      <c r="G34" t="str">
        <v>422 + message "La facture fournie est introuvable."</v>
      </c>
      <c r="H34" t="str">
        <v>facture_id autre usine</v>
      </c>
      <c r="I34" t="str">
        <v>Critique</v>
      </c>
      <c r="J34" t="str">
        <v>Negatif</v>
      </c>
      <c r="K34" t="str">
        <v>NON TESTE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facture_id exists + scope usine</v>
      </c>
      <c r="R34">
        <v>5</v>
      </c>
    </row>
    <row r="35">
      <c r="A35" t="str">
        <v>PK-034</v>
      </c>
      <c r="B35" t="str">
        <v>Validation API</v>
      </c>
      <c r="C35" t="str">
        <v>StorePackingRequest</v>
      </c>
      <c r="D35" t="str">
        <v>API create - notes doit etre une chaine</v>
      </c>
      <c r="E35" t="str">
        <v>Acces API create packing; token valide.</v>
      </c>
      <c r="F35" t="str">
        <v>Depuis le front (DevTools/Replay) ou Postman, envoyer un payload invalide: notes = objet JSON.</v>
      </c>
      <c r="G35" t="str">
        <v>422 + message "Les notes doivent etre une chaine de caracteres."</v>
      </c>
      <c r="H35" t="str">
        <v>notes = objet JSON</v>
      </c>
      <c r="I35" t="str">
        <v>Critique</v>
      </c>
      <c r="J35" t="str">
        <v>Negatif</v>
      </c>
      <c r="K35" t="str">
        <v>NON TESTE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notes.string</v>
      </c>
      <c r="R35">
        <v>5</v>
      </c>
    </row>
    <row r="36">
      <c r="A36" t="str">
        <v>PK-035</v>
      </c>
      <c r="B36" t="str">
        <v>Validation API</v>
      </c>
      <c r="C36" t="str">
        <v>StorePackingRequest</v>
      </c>
      <c r="D36" t="str">
        <v>API create - montant interdit en entree</v>
      </c>
      <c r="E36" t="str">
        <v>Acces API create packing; token valide.</v>
      </c>
      <c r="F36" t="str">
        <v>Depuis le front (DevTools/Replay) ou Postman, envoyer un payload invalide: montant force dans payload.</v>
      </c>
      <c r="G36" t="str">
        <v>422 + message "Le montant est calcule automatiquement par le serveur."</v>
      </c>
      <c r="H36" t="str">
        <v>montant force dans payload</v>
      </c>
      <c r="I36" t="str">
        <v>Critique</v>
      </c>
      <c r="J36" t="str">
        <v>Negatif</v>
      </c>
      <c r="K36" t="str">
        <v>NON TESTE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montant.prohibited</v>
      </c>
      <c r="R36">
        <v>5</v>
      </c>
    </row>
    <row r="37">
      <c r="A37" t="str">
        <v>PK-036</v>
      </c>
      <c r="B37" t="str">
        <v>Validation API</v>
      </c>
      <c r="C37" t="str">
        <v>StorePackingRequest</v>
      </c>
      <c r="D37" t="str">
        <v>Prix par rouleau absent: fallback parametre automatique</v>
      </c>
      <c r="E37" t="str">
        <v>Parametre prix par defaut configure.</v>
      </c>
      <c r="F37" t="str">
        <v>Soumettre sans prix_par_rouleau.</v>
      </c>
      <c r="G37" t="str">
        <v>Creation acceptee avec prix_par_rouleau = parametre par defaut.</v>
      </c>
      <c r="H37" t="str">
        <v/>
      </c>
      <c r="I37" t="str">
        <v>Haute</v>
      </c>
      <c r="J37" t="str">
        <v>Positif</v>
      </c>
      <c r="K37" t="str">
        <v>NON TESTE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prepareForValidation() -&gt; Parametre::getPrixRouleauDefaut()</v>
      </c>
      <c r="R37">
        <v>4</v>
      </c>
    </row>
    <row r="38">
      <c r="A38" t="str">
        <v>PK-037</v>
      </c>
      <c r="B38" t="str">
        <v>Stock</v>
      </c>
      <c r="C38" t="str">
        <v>Controle produit rouleau</v>
      </c>
      <c r="D38" t="str">
        <v>Produit rouleau non configure</v>
      </c>
      <c r="E38" t="str">
        <v>Parametre produit rouleau absent.</v>
      </c>
      <c r="F38" t="str">
        <v>Soumettre creation avec nb_rouleaux &gt; 0.</v>
      </c>
      <c r="G38" t="str">
        <v>422 avec erreur nb_rouleaux: produit rouleau n est pas configure.</v>
      </c>
      <c r="H38" t="str">
        <v/>
      </c>
      <c r="I38" t="str">
        <v>Critique</v>
      </c>
      <c r="J38" t="str">
        <v>Negatif</v>
      </c>
      <c r="K38" t="str">
        <v>NON TESTE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withValidator -&gt; getProduitRouleau()</v>
      </c>
      <c r="R38">
        <v>5</v>
      </c>
    </row>
    <row r="39">
      <c r="A39" t="str">
        <v>PK-038</v>
      </c>
      <c r="B39" t="str">
        <v>Stock</v>
      </c>
      <c r="C39" t="str">
        <v>Controle produit rouleau</v>
      </c>
      <c r="D39" t="str">
        <v>Stock insuffisant a la creation</v>
      </c>
      <c r="E39" t="str">
        <v>Stock rouleau = 20.</v>
      </c>
      <c r="F39" t="str">
        <v>Soumettre creation avec nb_rouleaux = 25.</v>
      </c>
      <c r="G39" t="str">
        <v>422 avec message stock insuffisant et stock disponible.</v>
      </c>
      <c r="H39" t="str">
        <v/>
      </c>
      <c r="I39" t="str">
        <v>Critique</v>
      </c>
      <c r="J39" t="str">
        <v>Negatif</v>
      </c>
      <c r="K39" t="str">
        <v>NON TESTE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withValidator stock check</v>
      </c>
      <c r="R39">
        <v>5</v>
      </c>
    </row>
    <row r="40">
      <c r="A40" t="str">
        <v>PK-039</v>
      </c>
      <c r="B40" t="str">
        <v>Stock</v>
      </c>
      <c r="C40" t="str">
        <v>Controle produit rouleau</v>
      </c>
      <c r="D40" t="str">
        <v>Stock egal a la quantite demandee</v>
      </c>
      <c r="E40" t="str">
        <v>Stock rouleau = 50.</v>
      </c>
      <c r="F40" t="str">
        <v>Creer packing avec nb_rouleaux = 50.</v>
      </c>
      <c r="G40" t="str">
        <v>Creation autorisee; stock atteint 0 apres validation.</v>
      </c>
      <c r="H40" t="str">
        <v/>
      </c>
      <c r="I40" t="str">
        <v>Haute</v>
      </c>
      <c r="J40" t="str">
        <v>Positif</v>
      </c>
      <c r="K40" t="str">
        <v>NON TESTE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qte_stock &gt;= nb_rouleaux</v>
      </c>
      <c r="R40">
        <v>4</v>
      </c>
    </row>
    <row r="41">
      <c r="A41" t="str">
        <v>PK-040</v>
      </c>
      <c r="B41" t="str">
        <v>Stock</v>
      </c>
      <c r="C41" t="str">
        <v>Controle produit rouleau</v>
      </c>
      <c r="D41" t="str">
        <v>Alerte stock in_stock</v>
      </c>
      <c r="E41" t="str">
        <v>Stock restant strictement &gt; seuil low stock.</v>
      </c>
      <c r="F41" t="str">
        <v>Creer un packing valide.</v>
      </c>
      <c r="G41" t="str">
        <v>Reponse contient stock_alert.niveau = in_stock et message null.</v>
      </c>
      <c r="H41" t="str">
        <v/>
      </c>
      <c r="I41" t="str">
        <v>Moyenne</v>
      </c>
      <c r="J41" t="str">
        <v>Positif</v>
      </c>
      <c r="K41" t="str">
        <v>NON TESTE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stock_alert in_store</v>
      </c>
      <c r="R41">
        <v>3</v>
      </c>
    </row>
    <row r="42">
      <c r="A42" t="str">
        <v>PK-041</v>
      </c>
      <c r="B42" t="str">
        <v>Stock</v>
      </c>
      <c r="C42" t="str">
        <v>Controle produit rouleau</v>
      </c>
      <c r="D42" t="str">
        <v>Alerte stock low_stock</v>
      </c>
      <c r="E42" t="str">
        <v>Stock restant &lt;= seuil et &gt; 0 apres creation.</v>
      </c>
      <c r="F42" t="str">
        <v>Creer un packing valide.</v>
      </c>
      <c r="G42" t="str">
        <v>Reponse contient stock_alert.niveau = low_stock avec message explicite.</v>
      </c>
      <c r="H42" t="str">
        <v/>
      </c>
      <c r="I42" t="str">
        <v>Haute</v>
      </c>
      <c r="J42" t="str">
        <v>Positif</v>
      </c>
      <c r="K42" t="str">
        <v>NON TESTE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stock_alert low_stock</v>
      </c>
      <c r="R42">
        <v>4</v>
      </c>
    </row>
    <row r="43">
      <c r="A43" t="str">
        <v>PK-042</v>
      </c>
      <c r="B43" t="str">
        <v>Stock</v>
      </c>
      <c r="C43" t="str">
        <v>Controle produit rouleau</v>
      </c>
      <c r="D43" t="str">
        <v>Alerte stock out_of_stock</v>
      </c>
      <c r="E43" t="str">
        <v>Stock va tomber a 0 apres creation.</v>
      </c>
      <c r="F43" t="str">
        <v>Creer un packing valide utilisant le stock restant.</v>
      </c>
      <c r="G43" t="str">
        <v>Reponse contient stock_alert.niveau = out_of_stock et message de reapro.</v>
      </c>
      <c r="H43" t="str">
        <v/>
      </c>
      <c r="I43" t="str">
        <v>Haute</v>
      </c>
      <c r="J43" t="str">
        <v>Positif</v>
      </c>
      <c r="K43" t="str">
        <v>NON TESTE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stock_alert out_of_stock</v>
      </c>
      <c r="R43">
        <v>4</v>
      </c>
    </row>
    <row r="44">
      <c r="A44" t="str">
        <v>PK-043</v>
      </c>
      <c r="B44" t="str">
        <v>Workflow metier</v>
      </c>
      <c r="C44" t="str">
        <v>Statut et Facture</v>
      </c>
      <c r="D44" t="str">
        <v>Creation sans statut explicite (statut par defaut)</v>
      </c>
      <c r="E44" t="str">
        <v>Donnees de test disponibles (prestataire + stock + droits).</v>
      </c>
      <c r="F44" t="str">
        <v>Creer packing depuis front sans envoyer le champ statut (scenario standard).</v>
      </c>
      <c r="G44" t="str">
        <v>Packing final en statut valide; facture creee; message "cree, valide et facture generee".</v>
      </c>
      <c r="H44" t="str">
        <v/>
      </c>
      <c r="I44" t="str">
        <v>Critique</v>
      </c>
      <c r="J44" t="str">
        <v>Positif</v>
      </c>
      <c r="K44" t="str">
        <v>NON TESTE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STATUT_DEFAUT=valide + validation immediate</v>
      </c>
      <c r="R44">
        <v>5</v>
      </c>
    </row>
    <row r="45">
      <c r="A45" t="str">
        <v>PK-044</v>
      </c>
      <c r="B45" t="str">
        <v>Workflow metier</v>
      </c>
      <c r="C45" t="str">
        <v>Statut et Facture</v>
      </c>
      <c r="D45" t="str">
        <v>Creation avec statut a_valider</v>
      </c>
      <c r="E45" t="str">
        <v>Donnees de test disponibles (prestataire + stock + droits).</v>
      </c>
      <c r="F45" t="str">
        <v>Soumettre payload avec statut=a_valider.</v>
      </c>
      <c r="G45" t="str">
        <v>Packing cree a_valider sans facture immediate.</v>
      </c>
      <c r="H45" t="str">
        <v/>
      </c>
      <c r="I45" t="str">
        <v>Critique</v>
      </c>
      <c r="J45" t="str">
        <v>Positif</v>
      </c>
      <c r="K45" t="str">
        <v>NON TESTE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doImmediateValidation=false</v>
      </c>
      <c r="R45">
        <v>5</v>
      </c>
    </row>
    <row r="46">
      <c r="A46" t="str">
        <v>PK-045</v>
      </c>
      <c r="B46" t="str">
        <v>Workflow metier</v>
      </c>
      <c r="C46" t="str">
        <v>Statut et Facture</v>
      </c>
      <c r="D46" t="str">
        <v>Creation avec statut annule</v>
      </c>
      <c r="E46" t="str">
        <v>Donnees de test disponibles (prestataire + stock + droits).</v>
      </c>
      <c r="F46" t="str">
        <v>Soumettre payload avec statut=annule.</v>
      </c>
      <c r="G46" t="str">
        <v>Packing cree annule sans validation ni facture.</v>
      </c>
      <c r="H46" t="str">
        <v/>
      </c>
      <c r="I46" t="str">
        <v>Critique</v>
      </c>
      <c r="J46" t="str">
        <v>Positif</v>
      </c>
      <c r="K46" t="str">
        <v>NON TESTE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enum annule autorise</v>
      </c>
      <c r="R46">
        <v>5</v>
      </c>
    </row>
    <row r="47">
      <c r="A47" t="str">
        <v>PK-046</v>
      </c>
      <c r="B47" t="str">
        <v>Workflow metier</v>
      </c>
      <c r="C47" t="str">
        <v>Statut et Facture</v>
      </c>
      <c r="D47" t="str">
        <v>Validation d un packing annule interdite</v>
      </c>
      <c r="E47" t="str">
        <v>Donnees de test disponibles (prestataire + stock + droits).</v>
      </c>
      <c r="F47" t="str">
        <v>Tenter de valider un packing en statut annule.</v>
      </c>
      <c r="G47" t="str">
        <v>Erreur metier: un packing annule ne peut pas etre valide.</v>
      </c>
      <c r="H47" t="str">
        <v/>
      </c>
      <c r="I47" t="str">
        <v>Critique</v>
      </c>
      <c r="J47" t="str">
        <v>Negatif</v>
      </c>
      <c r="K47" t="str">
        <v>NON TESTE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Packing::valider guard annule</v>
      </c>
      <c r="R47">
        <v>5</v>
      </c>
    </row>
    <row r="48">
      <c r="A48" t="str">
        <v>PK-047</v>
      </c>
      <c r="B48" t="str">
        <v>Workflow metier</v>
      </c>
      <c r="C48" t="str">
        <v>Statut et Facture</v>
      </c>
      <c r="D48" t="str">
        <v>Validation d un packing deja valide</v>
      </c>
      <c r="E48" t="str">
        <v>Donnees de test disponibles (prestataire + stock + droits).</v>
      </c>
      <c r="F48" t="str">
        <v>Rejouer la validation sur un packing deja valide.</v>
      </c>
      <c r="G48" t="str">
        <v>Aucune double facturation; retourne facture existante.</v>
      </c>
      <c r="H48" t="str">
        <v/>
      </c>
      <c r="I48" t="str">
        <v>Critique</v>
      </c>
      <c r="J48" t="str">
        <v>Positif</v>
      </c>
      <c r="K48" t="str">
        <v>NON TESTE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Packing::valider idempotence</v>
      </c>
      <c r="R48">
        <v>5</v>
      </c>
    </row>
    <row r="49">
      <c r="A49" t="str">
        <v>PK-048</v>
      </c>
      <c r="B49" t="str">
        <v>Workflow metier</v>
      </c>
      <c r="C49" t="str">
        <v>Statut et Facture</v>
      </c>
      <c r="D49" t="str">
        <v>Annulation d un packing valide avec compensation stock</v>
      </c>
      <c r="E49" t="str">
        <v>Donnees de test disponibles (prestataire + stock + droits).</v>
      </c>
      <c r="F49" t="str">
        <v>Annuler packing valide.</v>
      </c>
      <c r="G49" t="str">
        <v>Statut devient annule et stock rouleaux est restaure.</v>
      </c>
      <c r="H49" t="str">
        <v/>
      </c>
      <c r="I49" t="str">
        <v>Critique</v>
      </c>
      <c r="J49" t="str">
        <v>Positif</v>
      </c>
      <c r="K49" t="str">
        <v>NON TESTE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annuler(compenserStock=true)</v>
      </c>
      <c r="R49">
        <v>5</v>
      </c>
    </row>
    <row r="50">
      <c r="A50" t="str">
        <v>PK-049</v>
      </c>
      <c r="B50" t="str">
        <v>Workflow metier</v>
      </c>
      <c r="C50" t="str">
        <v>Statut et Facture</v>
      </c>
      <c r="D50" t="str">
        <v>Annulation d un packing deja annule</v>
      </c>
      <c r="E50" t="str">
        <v>Donnees de test disponibles (prestataire + stock + droits).</v>
      </c>
      <c r="F50" t="str">
        <v>Relancer annulation sur meme packing.</v>
      </c>
      <c r="G50" t="str">
        <v>Operation idempotente sans effet secondaire.</v>
      </c>
      <c r="H50" t="str">
        <v/>
      </c>
      <c r="I50" t="str">
        <v>Critique</v>
      </c>
      <c r="J50" t="str">
        <v>Positif</v>
      </c>
      <c r="K50" t="str">
        <v>NON TESTE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annuler() early return</v>
      </c>
      <c r="R50">
        <v>5</v>
      </c>
    </row>
    <row r="51">
      <c r="A51" t="str">
        <v>PK-050</v>
      </c>
      <c r="B51" t="str">
        <v>Workflow metier</v>
      </c>
      <c r="C51" t="str">
        <v>Statut et Facture</v>
      </c>
      <c r="D51" t="str">
        <v>Facture date basee sur date packing</v>
      </c>
      <c r="E51" t="str">
        <v>Donnees de test disponibles (prestataire + stock + droits).</v>
      </c>
      <c r="F51" t="str">
        <v>Creer packing date J-3 en validation immediate.</v>
      </c>
      <c r="G51" t="str">
        <v>Facture creee avec date = date packing (pas date systeme).</v>
      </c>
      <c r="H51" t="str">
        <v/>
      </c>
      <c r="I51" t="str">
        <v>Critique</v>
      </c>
      <c r="J51" t="str">
        <v>Positif</v>
      </c>
      <c r="K51" t="str">
        <v>NON TESTE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factureDate = packing-&gt;date</v>
      </c>
      <c r="R51">
        <v>5</v>
      </c>
    </row>
    <row r="52">
      <c r="A52" t="str">
        <v>PK-051</v>
      </c>
      <c r="B52" t="str">
        <v>Workflow metier</v>
      </c>
      <c r="C52" t="str">
        <v>Statut et Facture</v>
      </c>
      <c r="D52" t="str">
        <v>Reference packing auto-generee</v>
      </c>
      <c r="E52" t="str">
        <v>Donnees de test disponibles (prestataire + stock + droits).</v>
      </c>
      <c r="F52" t="str">
        <v>Creer un packing puis observer reference.</v>
      </c>
      <c r="G52" t="str">
        <v>Format PACK-YYYYMMDD-XXXX unique et incremente.</v>
      </c>
      <c r="H52" t="str">
        <v/>
      </c>
      <c r="I52" t="str">
        <v>Critique</v>
      </c>
      <c r="J52" t="str">
        <v>Positif</v>
      </c>
      <c r="K52" t="str">
        <v>NON TESTE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generateReference()</v>
      </c>
      <c r="R52">
        <v>5</v>
      </c>
    </row>
    <row r="53">
      <c r="A53" t="str">
        <v>PK-052</v>
      </c>
      <c r="B53" t="str">
        <v>Workflow metier</v>
      </c>
      <c r="C53" t="str">
        <v>Statut et Facture</v>
      </c>
      <c r="D53" t="str">
        <v>Montant calcule serveur</v>
      </c>
      <c r="E53" t="str">
        <v>Donnees de test disponibles (prestataire + stock + droits).</v>
      </c>
      <c r="F53" t="str">
        <v>Creer packing nb=7 prix=33000.</v>
      </c>
      <c r="G53" t="str">
        <v>Montant persiste a 231000, independant d un montant fourni client.</v>
      </c>
      <c r="H53" t="str">
        <v/>
      </c>
      <c r="I53" t="str">
        <v>Critique</v>
      </c>
      <c r="J53" t="str">
        <v>Positif</v>
      </c>
      <c r="K53" t="str">
        <v>NON TESTE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prepareForPersistence + calculerMontant()</v>
      </c>
      <c r="R53">
        <v>5</v>
      </c>
    </row>
    <row r="54">
      <c r="A54" t="str">
        <v>PK-053</v>
      </c>
      <c r="B54" t="str">
        <v>Liste packing</v>
      </c>
      <c r="C54" t="str">
        <v>Recherche</v>
      </c>
      <c r="D54" t="str">
        <v>Champ recherche - Recherche par reference</v>
      </c>
      <c r="E54" t="str">
        <v>Jeu de donnees varie sur plusieurs packings.</v>
      </c>
      <c r="F54" t="str">
        <v>Saisir une valeur correspondant a: Recherche par reference.</v>
      </c>
      <c r="G54" t="str">
        <v>La liste est filtree uniquement sur les lignes correspondantes.</v>
      </c>
      <c r="H54" t="str">
        <v/>
      </c>
      <c r="I54" t="str">
        <v>Moyenne</v>
      </c>
      <c r="J54" t="str">
        <v>Positif</v>
      </c>
      <c r="K54" t="str">
        <v>NON TESTE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3</v>
      </c>
    </row>
    <row r="55">
      <c r="A55" t="str">
        <v>PK-054</v>
      </c>
      <c r="B55" t="str">
        <v>Liste packing</v>
      </c>
      <c r="C55" t="str">
        <v>Recherche</v>
      </c>
      <c r="D55" t="str">
        <v>Champ recherche - Recherche par nom prestataire</v>
      </c>
      <c r="E55" t="str">
        <v>Jeu de donnees varie sur plusieurs packings.</v>
      </c>
      <c r="F55" t="str">
        <v>Saisir une valeur correspondant a: Recherche par nom prestataire.</v>
      </c>
      <c r="G55" t="str">
        <v>La liste est filtree uniquement sur les lignes correspondantes.</v>
      </c>
      <c r="H55" t="str">
        <v/>
      </c>
      <c r="I55" t="str">
        <v>Moyenne</v>
      </c>
      <c r="J55" t="str">
        <v>Positif</v>
      </c>
      <c r="K55" t="str">
        <v>NON TESTE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>
        <v>3</v>
      </c>
    </row>
    <row r="56">
      <c r="A56" t="str">
        <v>PK-055</v>
      </c>
      <c r="B56" t="str">
        <v>Liste packing</v>
      </c>
      <c r="C56" t="str">
        <v>Recherche</v>
      </c>
      <c r="D56" t="str">
        <v>Champ recherche - Recherche par prenom prestataire</v>
      </c>
      <c r="E56" t="str">
        <v>Jeu de donnees varie sur plusieurs packings.</v>
      </c>
      <c r="F56" t="str">
        <v>Saisir une valeur correspondant a: Recherche par prenom prestataire.</v>
      </c>
      <c r="G56" t="str">
        <v>La liste est filtree uniquement sur les lignes correspondantes.</v>
      </c>
      <c r="H56" t="str">
        <v/>
      </c>
      <c r="I56" t="str">
        <v>Moyenne</v>
      </c>
      <c r="J56" t="str">
        <v>Positif</v>
      </c>
      <c r="K56" t="str">
        <v>NON TESTE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>
        <v>3</v>
      </c>
    </row>
    <row r="57">
      <c r="A57" t="str">
        <v>PK-056</v>
      </c>
      <c r="B57" t="str">
        <v>Liste packing</v>
      </c>
      <c r="C57" t="str">
        <v>Recherche</v>
      </c>
      <c r="D57" t="str">
        <v>Champ recherche - Recherche par telephone prestataire</v>
      </c>
      <c r="E57" t="str">
        <v>Jeu de donnees varie sur plusieurs packings.</v>
      </c>
      <c r="F57" t="str">
        <v>Saisir une valeur correspondant a: Recherche par telephone prestataire.</v>
      </c>
      <c r="G57" t="str">
        <v>La liste est filtree uniquement sur les lignes correspondantes.</v>
      </c>
      <c r="H57" t="str">
        <v/>
      </c>
      <c r="I57" t="str">
        <v>Moyenne</v>
      </c>
      <c r="J57" t="str">
        <v>Positif</v>
      </c>
      <c r="K57" t="str">
        <v>NON TESTE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3</v>
      </c>
    </row>
    <row r="58">
      <c r="A58" t="str">
        <v>PK-057</v>
      </c>
      <c r="B58" t="str">
        <v>Liste packing</v>
      </c>
      <c r="C58" t="str">
        <v>Recherche</v>
      </c>
      <c r="D58" t="str">
        <v>Champ recherche - Recherche par statut label</v>
      </c>
      <c r="E58" t="str">
        <v>Jeu de donnees varie sur plusieurs packings.</v>
      </c>
      <c r="F58" t="str">
        <v>Saisir une valeur correspondant a: Recherche par statut label.</v>
      </c>
      <c r="G58" t="str">
        <v>La liste est filtree uniquement sur les lignes correspondantes.</v>
      </c>
      <c r="H58" t="str">
        <v/>
      </c>
      <c r="I58" t="str">
        <v>Moyenne</v>
      </c>
      <c r="J58" t="str">
        <v>Positif</v>
      </c>
      <c r="K58" t="str">
        <v>NON TESTE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3</v>
      </c>
    </row>
    <row r="59">
      <c r="A59" t="str">
        <v>PK-058</v>
      </c>
      <c r="B59" t="str">
        <v>Liste packing</v>
      </c>
      <c r="C59" t="str">
        <v>Filtre statut</v>
      </c>
      <c r="D59" t="str">
        <v>Filtre statut = all</v>
      </c>
      <c r="E59" t="str">
        <v>Au moins un packing par statut.</v>
      </c>
      <c r="F59" t="str">
        <v>Appliquer le filtre all depuis desktop puis mobile.</v>
      </c>
      <c r="G59" t="str">
        <v>tous les statuts visibles</v>
      </c>
      <c r="H59" t="str">
        <v/>
      </c>
      <c r="I59" t="str">
        <v>Haute</v>
      </c>
      <c r="J59" t="str">
        <v>Positif</v>
      </c>
      <c r="K59" t="str">
        <v>NON TESTE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Query param statut</v>
      </c>
      <c r="R59">
        <v>4</v>
      </c>
    </row>
    <row r="60">
      <c r="A60" t="str">
        <v>PK-059</v>
      </c>
      <c r="B60" t="str">
        <v>Liste packing</v>
      </c>
      <c r="C60" t="str">
        <v>Filtre statut</v>
      </c>
      <c r="D60" t="str">
        <v>Filtre statut = a_valider</v>
      </c>
      <c r="E60" t="str">
        <v>Au moins un packing par statut.</v>
      </c>
      <c r="F60" t="str">
        <v>Appliquer le filtre a_valider depuis desktop puis mobile.</v>
      </c>
      <c r="G60" t="str">
        <v>uniquement les packings a valider</v>
      </c>
      <c r="H60" t="str">
        <v/>
      </c>
      <c r="I60" t="str">
        <v>Haute</v>
      </c>
      <c r="J60" t="str">
        <v>Positif</v>
      </c>
      <c r="K60" t="str">
        <v>NON TESTE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Query param statut</v>
      </c>
      <c r="R60">
        <v>4</v>
      </c>
    </row>
    <row r="61">
      <c r="A61" t="str">
        <v>PK-060</v>
      </c>
      <c r="B61" t="str">
        <v>Liste packing</v>
      </c>
      <c r="C61" t="str">
        <v>Filtre statut</v>
      </c>
      <c r="D61" t="str">
        <v>Filtre statut = valide</v>
      </c>
      <c r="E61" t="str">
        <v>Au moins un packing par statut.</v>
      </c>
      <c r="F61" t="str">
        <v>Appliquer le filtre valide depuis desktop puis mobile.</v>
      </c>
      <c r="G61" t="str">
        <v>uniquement les packings valides</v>
      </c>
      <c r="H61" t="str">
        <v/>
      </c>
      <c r="I61" t="str">
        <v>Haute</v>
      </c>
      <c r="J61" t="str">
        <v>Positif</v>
      </c>
      <c r="K61" t="str">
        <v>NON TESTE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Query param statut</v>
      </c>
      <c r="R61">
        <v>4</v>
      </c>
    </row>
    <row r="62">
      <c r="A62" t="str">
        <v>PK-061</v>
      </c>
      <c r="B62" t="str">
        <v>Liste packing</v>
      </c>
      <c r="C62" t="str">
        <v>Filtre statut</v>
      </c>
      <c r="D62" t="str">
        <v>Filtre statut = annule</v>
      </c>
      <c r="E62" t="str">
        <v>Au moins un packing par statut.</v>
      </c>
      <c r="F62" t="str">
        <v>Appliquer le filtre annule depuis desktop puis mobile.</v>
      </c>
      <c r="G62" t="str">
        <v>uniquement les packings annules</v>
      </c>
      <c r="H62" t="str">
        <v/>
      </c>
      <c r="I62" t="str">
        <v>Haute</v>
      </c>
      <c r="J62" t="str">
        <v>Positif</v>
      </c>
      <c r="K62" t="str">
        <v>NON TESTE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Query param statut</v>
      </c>
      <c r="R62">
        <v>4</v>
      </c>
    </row>
    <row r="63">
      <c r="A63" t="str">
        <v>PK-062</v>
      </c>
      <c r="B63" t="str">
        <v>Liste packing</v>
      </c>
      <c r="C63" t="str">
        <v>Filtre periode</v>
      </c>
      <c r="D63" t="str">
        <v>Filtre date - plage complete</v>
      </c>
      <c r="E63" t="str">
        <v>Packings sur plusieurs dates.</v>
      </c>
      <c r="F63" t="str">
        <v>Selectionner date_debut et date_fin puis appliquer.</v>
      </c>
      <c r="G63" t="str">
        <v>Seuls les packings inclus dans la plage sont retournes.</v>
      </c>
      <c r="H63" t="str">
        <v/>
      </c>
      <c r="I63" t="str">
        <v>Haute</v>
      </c>
      <c r="J63" t="str">
        <v>Positif</v>
      </c>
      <c r="K63" t="str">
        <v>NON TESTE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Query params date_debut/date_fin</v>
      </c>
      <c r="R63">
        <v>4</v>
      </c>
    </row>
    <row r="64">
      <c r="A64" t="str">
        <v>PK-063</v>
      </c>
      <c r="B64" t="str">
        <v>Liste packing</v>
      </c>
      <c r="C64" t="str">
        <v>Filtre periode</v>
      </c>
      <c r="D64" t="str">
        <v>Selection de la 1ere date uniquement</v>
      </c>
      <c r="E64" t="str">
        <v>Liste ouverte.</v>
      </c>
      <c r="F64" t="str">
        <v>Selectionner seulement date_debut dans le range picker.</v>
      </c>
      <c r="G64" t="str">
        <v>Pas de refresh API tant que date_fin non choisie.</v>
      </c>
      <c r="H64" t="str">
        <v/>
      </c>
      <c r="I64" t="str">
        <v>Moyenne</v>
      </c>
      <c r="J64" t="str">
        <v>Robustesse</v>
      </c>
      <c r="K64" t="str">
        <v>NON TESTE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>
        <v>3</v>
      </c>
    </row>
    <row r="65">
      <c r="A65" t="str">
        <v>PK-064</v>
      </c>
      <c r="B65" t="str">
        <v>Liste packing</v>
      </c>
      <c r="C65" t="str">
        <v>Filtres</v>
      </c>
      <c r="D65" t="str">
        <v>Effacer les filtres</v>
      </c>
      <c r="E65" t="str">
        <v>Un filtre statut et/ou periode est actif.</v>
      </c>
      <c r="F65" t="str">
        <v>Cliquer sur Effacer les filtres.</v>
      </c>
      <c r="G65" t="str">
        <v>Retour a statut=all, periode vide, et rechargement complet.</v>
      </c>
      <c r="H65" t="str">
        <v/>
      </c>
      <c r="I65" t="str">
        <v>Moyenne</v>
      </c>
      <c r="J65" t="str">
        <v>Positif</v>
      </c>
      <c r="K65" t="str">
        <v>NON TESTE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>
        <v>3</v>
      </c>
    </row>
    <row r="66">
      <c r="A66" t="str">
        <v>PK-065</v>
      </c>
      <c r="B66" t="str">
        <v>Liste packing</v>
      </c>
      <c r="C66" t="str">
        <v>Pagination</v>
      </c>
      <c r="D66" t="str">
        <v>Pagination desktop 10/25/50</v>
      </c>
      <c r="E66" t="str">
        <v>Plus de 50 packings de test.</v>
      </c>
      <c r="F66" t="str">
        <v>Changer taille de page puis naviguer entre pages.</v>
      </c>
      <c r="G66" t="str">
        <v>Le nombre de lignes correspond a la taille choisie.</v>
      </c>
      <c r="H66" t="str">
        <v/>
      </c>
      <c r="I66" t="str">
        <v>Moyenne</v>
      </c>
      <c r="J66" t="str">
        <v>Positif</v>
      </c>
      <c r="K66" t="str">
        <v>NON TESTE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>
        <v>3</v>
      </c>
    </row>
    <row r="67">
      <c r="A67" t="str">
        <v>PK-066</v>
      </c>
      <c r="B67" t="str">
        <v>Liste packing</v>
      </c>
      <c r="C67" t="str">
        <v>Suppression</v>
      </c>
      <c r="D67" t="str">
        <v>Suppression packing avec confirmation</v>
      </c>
      <c r="E67" t="str">
        <v>Droit packings.delete + packing supprimable.</v>
      </c>
      <c r="F67" t="str">
        <v>Cliquer supprimer puis confirmer dans le dialog.</v>
      </c>
      <c r="G67" t="str">
        <v>Packing retire de la liste et toast succes.</v>
      </c>
      <c r="H67" t="str">
        <v/>
      </c>
      <c r="I67" t="str">
        <v>Haute</v>
      </c>
      <c r="J67" t="str">
        <v>Positif</v>
      </c>
      <c r="K67" t="str">
        <v>NON TESTE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DELETE /packings/{id}</v>
      </c>
      <c r="R67">
        <v>4</v>
      </c>
    </row>
    <row r="68">
      <c r="A68" t="str">
        <v>PK-067</v>
      </c>
      <c r="B68" t="str">
        <v>Liste packing</v>
      </c>
      <c r="C68" t="str">
        <v>Suppression</v>
      </c>
      <c r="D68" t="str">
        <v>Suppression annulee depuis le dialog</v>
      </c>
      <c r="E68" t="str">
        <v>Dialog de suppression affiche.</v>
      </c>
      <c r="F68" t="str">
        <v>Cliquer Annuler dans la confirmation.</v>
      </c>
      <c r="G68" t="str">
        <v>Aucune suppression executee.</v>
      </c>
      <c r="H68" t="str">
        <v/>
      </c>
      <c r="I68" t="str">
        <v>Moyenne</v>
      </c>
      <c r="J68" t="str">
        <v>Negatif</v>
      </c>
      <c r="K68" t="str">
        <v>NON TESTE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>
        <v>3</v>
      </c>
    </row>
    <row r="69">
      <c r="A69" t="str">
        <v>PK-068</v>
      </c>
      <c r="B69" t="str">
        <v>Permissions</v>
      </c>
      <c r="C69" t="str">
        <v>Liste packing</v>
      </c>
      <c r="D69" t="str">
        <v>Visibilite actions selon permission packings.create</v>
      </c>
      <c r="E69" t="str">
        <v>Tester avec 2 profils: avec et sans permission.</v>
      </c>
      <c r="F69" t="str">
        <v>Ouvrir la liste packing avec un compte sans packings.create.</v>
      </c>
      <c r="G69" t="str">
        <v>Sans permission, bouton Nouveau packing absent (desktop + FAB mobile).</v>
      </c>
      <c r="H69" t="str">
        <v/>
      </c>
      <c r="I69" t="str">
        <v>Haute</v>
      </c>
      <c r="J69" t="str">
        <v>Securite</v>
      </c>
      <c r="K69" t="str">
        <v>NON TESTE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AuthService.hasPermission(packings.create)</v>
      </c>
      <c r="R69">
        <v>4</v>
      </c>
    </row>
    <row r="70">
      <c r="A70" t="str">
        <v>PK-069</v>
      </c>
      <c r="B70" t="str">
        <v>Permissions</v>
      </c>
      <c r="C70" t="str">
        <v>Liste packing</v>
      </c>
      <c r="D70" t="str">
        <v>Visibilite actions selon permission packings.update</v>
      </c>
      <c r="E70" t="str">
        <v>Tester avec 2 profils: avec et sans permission.</v>
      </c>
      <c r="F70" t="str">
        <v>Ouvrir la liste packing avec un compte sans packings.update.</v>
      </c>
      <c r="G70" t="str">
        <v>Sans permission, action Modifier absente.</v>
      </c>
      <c r="H70" t="str">
        <v/>
      </c>
      <c r="I70" t="str">
        <v>Haute</v>
      </c>
      <c r="J70" t="str">
        <v>Securite</v>
      </c>
      <c r="K70" t="str">
        <v>NON TESTE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AuthService.hasPermission(packings.update)</v>
      </c>
      <c r="R70">
        <v>4</v>
      </c>
    </row>
    <row r="71">
      <c r="A71" t="str">
        <v>PK-070</v>
      </c>
      <c r="B71" t="str">
        <v>Permissions</v>
      </c>
      <c r="C71" t="str">
        <v>Liste packing</v>
      </c>
      <c r="D71" t="str">
        <v>Visibilite actions selon permission packings.delete</v>
      </c>
      <c r="E71" t="str">
        <v>Tester avec 2 profils: avec et sans permission.</v>
      </c>
      <c r="F71" t="str">
        <v>Ouvrir la liste packing avec un compte sans packings.delete.</v>
      </c>
      <c r="G71" t="str">
        <v>Sans permission, action Supprimer absente.</v>
      </c>
      <c r="H71" t="str">
        <v/>
      </c>
      <c r="I71" t="str">
        <v>Haute</v>
      </c>
      <c r="J71" t="str">
        <v>Securite</v>
      </c>
      <c r="K71" t="str">
        <v>NON TESTE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AuthService.hasPermission(packings.delete)</v>
      </c>
      <c r="R71">
        <v>4</v>
      </c>
    </row>
    <row r="72">
      <c r="A72" t="str">
        <v>PK-071</v>
      </c>
      <c r="B72" t="str">
        <v>Securite</v>
      </c>
      <c r="C72" t="str">
        <v>Cross-usine</v>
      </c>
      <c r="D72" t="str">
        <v>Tentative creation avec prestataire d une autre usine</v>
      </c>
      <c r="E72" t="str">
        <v>Connaissance d un prestataire externe a l usine courante.</v>
      </c>
      <c r="F72" t="str">
        <v>Modifier le payload (DevTools) pour injecter un prestataire_id hors usine.</v>
      </c>
      <c r="G72" t="str">
        <v>422, creation refusee.</v>
      </c>
      <c r="H72" t="str">
        <v/>
      </c>
      <c r="I72" t="str">
        <v>Critique</v>
      </c>
      <c r="J72" t="str">
        <v>Securite</v>
      </c>
      <c r="K72" t="str">
        <v>NON TESTE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Rule::exists prestataires where usine_id</v>
      </c>
      <c r="R72">
        <v>5</v>
      </c>
    </row>
    <row r="73">
      <c r="A73" t="str">
        <v>PK-072</v>
      </c>
      <c r="B73" t="str">
        <v>Securite</v>
      </c>
      <c r="C73" t="str">
        <v>Integrite payload</v>
      </c>
      <c r="D73" t="str">
        <v>Tentative forcer montant different du calcul</v>
      </c>
      <c r="E73" t="str">
        <v>Creation packing via front.</v>
      </c>
      <c r="F73" t="str">
        <v>Intercepter requete et ajouter un montant incoherent (ex: 1 GNF).</v>
      </c>
      <c r="G73" t="str">
        <v>Requete rejetee (champ montant prohibited).</v>
      </c>
      <c r="H73" t="str">
        <v/>
      </c>
      <c r="I73" t="str">
        <v>Critique</v>
      </c>
      <c r="J73" t="str">
        <v>Securite</v>
      </c>
      <c r="K73" t="str">
        <v>NON TESTE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montant.prohibited</v>
      </c>
      <c r="R73">
        <v>5</v>
      </c>
    </row>
    <row r="74">
      <c r="A74" t="str">
        <v>PK-073</v>
      </c>
      <c r="B74" t="str">
        <v>Securite</v>
      </c>
      <c r="C74" t="str">
        <v>Gestion erreurs</v>
      </c>
      <c r="D74" t="str">
        <v>Structure d erreur validation 422</v>
      </c>
      <c r="E74" t="str">
        <v>Provoquer une erreur de validation.</v>
      </c>
      <c r="F74" t="str">
        <v>Soumettre un payload invalide puis inspecter la reponse.</v>
      </c>
      <c r="G74" t="str">
        <v>JSON contient success=false, message global et objet errors par champ.</v>
      </c>
      <c r="H74" t="str">
        <v/>
      </c>
      <c r="I74" t="str">
        <v>Haute</v>
      </c>
      <c r="J74" t="str">
        <v>Robustesse</v>
      </c>
      <c r="K74" t="str">
        <v>NON TESTE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failedValidation()</v>
      </c>
      <c r="R74">
        <v>4</v>
      </c>
    </row>
    <row r="75">
      <c r="A75" t="str">
        <v>PK-074</v>
      </c>
      <c r="B75" t="str">
        <v>Comptabilite</v>
      </c>
      <c r="C75" t="str">
        <v>Liste prestataires</v>
      </c>
      <c r="D75" t="str">
        <v>Ouverture page comptabilite packing</v>
      </c>
      <c r="E75" t="str">
        <v>Donnees factures packing disponibles.</v>
      </c>
      <c r="F75" t="str">
        <v>Naviguer vers comptabilite packing liste.</v>
      </c>
      <c r="G75" t="str">
        <v>Tableau/carte prestataires charge avec totaux.</v>
      </c>
      <c r="H75" t="str">
        <v/>
      </c>
      <c r="I75" t="str">
        <v>Haute</v>
      </c>
      <c r="J75" t="str">
        <v>Positif</v>
      </c>
      <c r="K75" t="str">
        <v>NON TESTE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GET /facture-packings/comptabilite</v>
      </c>
      <c r="R75">
        <v>4</v>
      </c>
    </row>
    <row r="76">
      <c r="A76" t="str">
        <v>PK-075</v>
      </c>
      <c r="B76" t="str">
        <v>Comptabilite</v>
      </c>
      <c r="C76" t="str">
        <v>Filtres statut</v>
      </c>
      <c r="D76" t="str">
        <v>Filtre comptabilite statut Impaye</v>
      </c>
      <c r="E76" t="str">
        <v>Au moins un prestataire Impaye.</v>
      </c>
      <c r="F76" t="str">
        <v>Appliquer filtre Impaye sur desktop et menu mobile.</v>
      </c>
      <c r="G76" t="str">
        <v>Seuls les prestataires Impaye restent visibles.</v>
      </c>
      <c r="H76" t="str">
        <v/>
      </c>
      <c r="I76" t="str">
        <v>Moyenne</v>
      </c>
      <c r="J76" t="str">
        <v>Positif</v>
      </c>
      <c r="K76" t="str">
        <v>NON TESTE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>
        <v>3</v>
      </c>
    </row>
    <row r="77">
      <c r="A77" t="str">
        <v>PK-076</v>
      </c>
      <c r="B77" t="str">
        <v>Comptabilite</v>
      </c>
      <c r="C77" t="str">
        <v>Filtres statut</v>
      </c>
      <c r="D77" t="str">
        <v>Filtre comptabilite statut Partiel</v>
      </c>
      <c r="E77" t="str">
        <v>Au moins un prestataire Partiel.</v>
      </c>
      <c r="F77" t="str">
        <v>Appliquer filtre Partiel sur desktop et menu mobile.</v>
      </c>
      <c r="G77" t="str">
        <v>Seuls les prestataires Partiel restent visibles.</v>
      </c>
      <c r="H77" t="str">
        <v/>
      </c>
      <c r="I77" t="str">
        <v>Moyenne</v>
      </c>
      <c r="J77" t="str">
        <v>Positif</v>
      </c>
      <c r="K77" t="str">
        <v>NON TESTE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>
        <v>3</v>
      </c>
    </row>
    <row r="78">
      <c r="A78" t="str">
        <v>PK-077</v>
      </c>
      <c r="B78" t="str">
        <v>Comptabilite</v>
      </c>
      <c r="C78" t="str">
        <v>Filtres statut</v>
      </c>
      <c r="D78" t="str">
        <v>Filtre comptabilite statut Solde</v>
      </c>
      <c r="E78" t="str">
        <v>Au moins un prestataire Solde.</v>
      </c>
      <c r="F78" t="str">
        <v>Appliquer filtre Solde sur desktop et menu mobile.</v>
      </c>
      <c r="G78" t="str">
        <v>Seuls les prestataires Solde restent visibles.</v>
      </c>
      <c r="H78" t="str">
        <v/>
      </c>
      <c r="I78" t="str">
        <v>Moyenne</v>
      </c>
      <c r="J78" t="str">
        <v>Positif</v>
      </c>
      <c r="K78" t="str">
        <v>NON TESTE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>
        <v>3</v>
      </c>
    </row>
    <row r="79">
      <c r="A79" t="str">
        <v>PK-078</v>
      </c>
      <c r="B79" t="str">
        <v>Comptabilite</v>
      </c>
      <c r="C79" t="str">
        <v>Detail prestataire</v>
      </c>
      <c r="D79" t="str">
        <v>Ouverture detail factures d un prestataire</v>
      </c>
      <c r="E79" t="str">
        <v>Depuis liste comptabilite, un prestataire existe.</v>
      </c>
      <c r="F79" t="str">
        <v>Cliquer sur une ligne/carte prestataire.</v>
      </c>
      <c r="G79" t="str">
        <v>Navigation vers detail avec factures, totaux et actions.</v>
      </c>
      <c r="H79" t="str">
        <v/>
      </c>
      <c r="I79" t="str">
        <v>Haute</v>
      </c>
      <c r="J79" t="str">
        <v>Positif</v>
      </c>
      <c r="K79" t="str">
        <v>NON TESTE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>
        <v>4</v>
      </c>
    </row>
    <row r="80">
      <c r="A80" t="str">
        <v>PK-079</v>
      </c>
      <c r="B80" t="str">
        <v>Comptabilite</v>
      </c>
      <c r="C80" t="str">
        <v>Paiement facture</v>
      </c>
      <c r="D80" t="str">
        <v>Ouverture slideover paiement</v>
      </c>
      <c r="E80" t="str">
        <v>Facture non payee + permission versements.create.</v>
      </c>
      <c r="F80" t="str">
        <v>Cliquer action Payer sur une facture.</v>
      </c>
      <c r="G80" t="str">
        <v>Panneau paiement ouvert avec montant restant pre-rempli.</v>
      </c>
      <c r="H80" t="str">
        <v/>
      </c>
      <c r="I80" t="str">
        <v>Haute</v>
      </c>
      <c r="J80" t="str">
        <v>Positif</v>
      </c>
      <c r="K80" t="str">
        <v>NON TESTE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>
        <v>4</v>
      </c>
    </row>
    <row r="81">
      <c r="A81" t="str">
        <v>PK-080</v>
      </c>
      <c r="B81" t="str">
        <v>Comptabilite</v>
      </c>
      <c r="C81" t="str">
        <v>Paiement facture</v>
      </c>
      <c r="D81" t="str">
        <v>Paiement total du restant</v>
      </c>
      <c r="E81" t="str">
        <v>Facture en cours (impayee/partielle).</v>
      </c>
      <c r="F81" t="str">
        <v>Ouvrir paiement puis tester scenario montant = montant_restant.</v>
      </c>
      <c r="G81" t="str">
        <v>Versement cree, facture passe payee, restant = 0.</v>
      </c>
      <c r="H81" t="str">
        <v/>
      </c>
      <c r="I81" t="str">
        <v>Critique</v>
      </c>
      <c r="J81" t="str">
        <v>Positif</v>
      </c>
      <c r="K81" t="str">
        <v>NON TESTE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POST /facture-packings/{id}/versements</v>
      </c>
      <c r="R81">
        <v>5</v>
      </c>
    </row>
    <row r="82">
      <c r="A82" t="str">
        <v>PK-081</v>
      </c>
      <c r="B82" t="str">
        <v>Comptabilite</v>
      </c>
      <c r="C82" t="str">
        <v>Paiement facture</v>
      </c>
      <c r="D82" t="str">
        <v>Paiement partiel</v>
      </c>
      <c r="E82" t="str">
        <v>Facture en cours (impayee/partielle).</v>
      </c>
      <c r="F82" t="str">
        <v>Ouvrir paiement puis tester scenario montant &lt; montant_restant.</v>
      </c>
      <c r="G82" t="str">
        <v>Versement cree, facture passe partielle, restant diminue.</v>
      </c>
      <c r="H82" t="str">
        <v/>
      </c>
      <c r="I82" t="str">
        <v>Critique</v>
      </c>
      <c r="J82" t="str">
        <v>Positif</v>
      </c>
      <c r="K82" t="str">
        <v>NON TESTE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POST /facture-packings/{id}/versements</v>
      </c>
      <c r="R82">
        <v>5</v>
      </c>
    </row>
    <row r="83">
      <c r="A83" t="str">
        <v>PK-082</v>
      </c>
      <c r="B83" t="str">
        <v>Comptabilite</v>
      </c>
      <c r="C83" t="str">
        <v>Paiement facture</v>
      </c>
      <c r="D83" t="str">
        <v>Montant nul refuse</v>
      </c>
      <c r="E83" t="str">
        <v>Facture en cours (impayee/partielle).</v>
      </c>
      <c r="F83" t="str">
        <v>Ouvrir paiement puis tester scenario montant = 0.</v>
      </c>
      <c r="G83" t="str">
        <v>Bouton confirmer desactive ou sauvegarde refusee.</v>
      </c>
      <c r="H83" t="str">
        <v/>
      </c>
      <c r="I83" t="str">
        <v>Critique</v>
      </c>
      <c r="J83" t="str">
        <v>Negatif</v>
      </c>
      <c r="K83" t="str">
        <v>NON TESTE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POST /facture-packings/{id}/versements</v>
      </c>
      <c r="R83">
        <v>5</v>
      </c>
    </row>
    <row r="84">
      <c r="A84" t="str">
        <v>PK-083</v>
      </c>
      <c r="B84" t="str">
        <v>Comptabilite</v>
      </c>
      <c r="C84" t="str">
        <v>Paiement facture</v>
      </c>
      <c r="D84" t="str">
        <v>Montant negatif refuse</v>
      </c>
      <c r="E84" t="str">
        <v>Facture en cours (impayee/partielle).</v>
      </c>
      <c r="F84" t="str">
        <v>Ouvrir paiement puis tester scenario montant &lt; 0.</v>
      </c>
      <c r="G84" t="str">
        <v>Saisie bloquee par min=1; aucune creation versement.</v>
      </c>
      <c r="H84" t="str">
        <v/>
      </c>
      <c r="I84" t="str">
        <v>Critique</v>
      </c>
      <c r="J84" t="str">
        <v>Negatif</v>
      </c>
      <c r="K84" t="str">
        <v>NON TESTE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POST /facture-packings/{id}/versements</v>
      </c>
      <c r="R84">
        <v>5</v>
      </c>
    </row>
    <row r="85">
      <c r="A85" t="str">
        <v>PK-084</v>
      </c>
      <c r="B85" t="str">
        <v>Comptabilite</v>
      </c>
      <c r="C85" t="str">
        <v>Paiement facture</v>
      </c>
      <c r="D85" t="str">
        <v>Montant depassant le restant</v>
      </c>
      <c r="E85" t="str">
        <v>Facture en cours (impayee/partielle).</v>
      </c>
      <c r="F85" t="str">
        <v>Ouvrir paiement puis tester scenario montant &gt; montant_restant.</v>
      </c>
      <c r="G85" t="str">
        <v>Saisie bloquee par max ou rejet backend.</v>
      </c>
      <c r="H85" t="str">
        <v/>
      </c>
      <c r="I85" t="str">
        <v>Critique</v>
      </c>
      <c r="J85" t="str">
        <v>Negatif</v>
      </c>
      <c r="K85" t="str">
        <v>NON TESTE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POST /facture-packings/{id}/versements</v>
      </c>
      <c r="R85">
        <v>5</v>
      </c>
    </row>
    <row r="86">
      <c r="A86" t="str">
        <v>PK-085</v>
      </c>
      <c r="B86" t="str">
        <v>Comptabilite</v>
      </c>
      <c r="C86" t="str">
        <v>Mode paiement</v>
      </c>
      <c r="D86" t="str">
        <v>Versement avec mode especes</v>
      </c>
      <c r="E86" t="str">
        <v>Facture non soldee.</v>
      </c>
      <c r="F86" t="str">
        <v>Choisir mode especes, saisir montant valide, confirmer.</v>
      </c>
      <c r="G86" t="str">
        <v>Versement cree avec le mode selectionne et visible en historique.</v>
      </c>
      <c r="H86" t="str">
        <v/>
      </c>
      <c r="I86" t="str">
        <v>Moyenne</v>
      </c>
      <c r="J86" t="str">
        <v>Positif</v>
      </c>
      <c r="K86" t="str">
        <v>NON TESTE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mode_paiement enum</v>
      </c>
      <c r="R86">
        <v>3</v>
      </c>
    </row>
    <row r="87">
      <c r="A87" t="str">
        <v>PK-086</v>
      </c>
      <c r="B87" t="str">
        <v>Comptabilite</v>
      </c>
      <c r="C87" t="str">
        <v>Mode paiement</v>
      </c>
      <c r="D87" t="str">
        <v>Versement avec mode virement</v>
      </c>
      <c r="E87" t="str">
        <v>Facture non soldee.</v>
      </c>
      <c r="F87" t="str">
        <v>Choisir mode virement, saisir montant valide, confirmer.</v>
      </c>
      <c r="G87" t="str">
        <v>Versement cree avec le mode selectionne et visible en historique.</v>
      </c>
      <c r="H87" t="str">
        <v/>
      </c>
      <c r="I87" t="str">
        <v>Moyenne</v>
      </c>
      <c r="J87" t="str">
        <v>Positif</v>
      </c>
      <c r="K87" t="str">
        <v>NON TESTE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mode_paiement enum</v>
      </c>
      <c r="R87">
        <v>3</v>
      </c>
    </row>
    <row r="88">
      <c r="A88" t="str">
        <v>PK-087</v>
      </c>
      <c r="B88" t="str">
        <v>Comptabilite</v>
      </c>
      <c r="C88" t="str">
        <v>Mode paiement</v>
      </c>
      <c r="D88" t="str">
        <v>Versement avec mode mobile_money</v>
      </c>
      <c r="E88" t="str">
        <v>Facture non soldee.</v>
      </c>
      <c r="F88" t="str">
        <v>Choisir mode mobile_money, saisir montant valide, confirmer.</v>
      </c>
      <c r="G88" t="str">
        <v>Versement cree avec le mode selectionne et visible en historique.</v>
      </c>
      <c r="H88" t="str">
        <v/>
      </c>
      <c r="I88" t="str">
        <v>Moyenne</v>
      </c>
      <c r="J88" t="str">
        <v>Positif</v>
      </c>
      <c r="K88" t="str">
        <v>NON TESTE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mode_paiement enum</v>
      </c>
      <c r="R88">
        <v>3</v>
      </c>
    </row>
    <row r="89">
      <c r="A89" t="str">
        <v>PK-088</v>
      </c>
      <c r="B89" t="str">
        <v>Comptabilite</v>
      </c>
      <c r="C89" t="str">
        <v>Historique versements</v>
      </c>
      <c r="D89" t="str">
        <v>Consultation historique des versements</v>
      </c>
      <c r="E89" t="str">
        <v>Facture avec au moins un versement.</v>
      </c>
      <c r="F89" t="str">
        <v>Cliquer sur action Historique.</v>
      </c>
      <c r="G89" t="str">
        <v>Liste des versements affiche date, montant, mode et notes.</v>
      </c>
      <c r="H89" t="str">
        <v/>
      </c>
      <c r="I89" t="str">
        <v>Moyenne</v>
      </c>
      <c r="J89" t="str">
        <v>Positif</v>
      </c>
      <c r="K89" t="str">
        <v>NON TESTE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GET /facture-packings/{id}/versements</v>
      </c>
      <c r="R89">
        <v>3</v>
      </c>
    </row>
    <row r="90">
      <c r="A90" t="str">
        <v>PK-089</v>
      </c>
      <c r="B90" t="str">
        <v>Comptabilite</v>
      </c>
      <c r="C90" t="str">
        <v>Historique versements</v>
      </c>
      <c r="D90" t="str">
        <v>Suppression versement depuis historique</v>
      </c>
      <c r="E90" t="str">
        <v>Permission versements.delete + versement existant.</v>
      </c>
      <c r="F90" t="str">
        <v>Cliquer supprimer versement puis confirmer.</v>
      </c>
      <c r="G90" t="str">
        <v>Versement supprime, historique rafraichi, totaux facture mis a jour.</v>
      </c>
      <c r="H90" t="str">
        <v/>
      </c>
      <c r="I90" t="str">
        <v>Haute</v>
      </c>
      <c r="J90" t="str">
        <v>Positif</v>
      </c>
      <c r="K90" t="str">
        <v>NON TESTE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DELETE /facture-packings/{id}/versements/{versement_id}</v>
      </c>
      <c r="R90">
        <v>4</v>
      </c>
    </row>
    <row r="91">
      <c r="A91" t="str">
        <v>PK-090</v>
      </c>
      <c r="B91" t="str">
        <v>Comptabilite</v>
      </c>
      <c r="C91" t="str">
        <v>Suppression facture</v>
      </c>
      <c r="D91" t="str">
        <v>Suppression facture autorisee si montant_verse = 0</v>
      </c>
      <c r="E91" t="str">
        <v>Permission facture-packings.delete + facture sans versement.</v>
      </c>
      <c r="F91" t="str">
        <v>Cliquer supprimer facture puis confirmer.</v>
      </c>
      <c r="G91" t="str">
        <v>Facture supprimee et liste rechargee.</v>
      </c>
      <c r="H91" t="str">
        <v/>
      </c>
      <c r="I91" t="str">
        <v>Haute</v>
      </c>
      <c r="J91" t="str">
        <v>Positif</v>
      </c>
      <c r="K91" t="str">
        <v>NON TESTE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DELETE /facture-packings/{id}</v>
      </c>
      <c r="R91">
        <v>4</v>
      </c>
    </row>
    <row r="92">
      <c r="A92" t="str">
        <v>PK-091</v>
      </c>
      <c r="B92" t="str">
        <v>Comptabilite</v>
      </c>
      <c r="C92" t="str">
        <v>Suppression facture</v>
      </c>
      <c r="D92" t="str">
        <v>Action supprimer masquee si montant_verse &gt; 0</v>
      </c>
      <c r="E92" t="str">
        <v>Facture ayant deja un versement.</v>
      </c>
      <c r="F92" t="str">
        <v>Observer la colonne actions sur la facture.</v>
      </c>
      <c r="G92" t="str">
        <v>Le bouton supprimer facture nest pas disponible.</v>
      </c>
      <c r="H92" t="str">
        <v/>
      </c>
      <c r="I92" t="str">
        <v>Haute</v>
      </c>
      <c r="J92" t="str">
        <v>Securite</v>
      </c>
      <c r="K92" t="str">
        <v>NON TESTE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>
        <v>4</v>
      </c>
    </row>
    <row r="93">
      <c r="A93" t="str">
        <v>PK-092</v>
      </c>
      <c r="B93" t="str">
        <v>Comptabilite</v>
      </c>
      <c r="C93" t="str">
        <v>Permissions</v>
      </c>
      <c r="D93" t="str">
        <v>Sans versements.create, action Payer masquee</v>
      </c>
      <c r="E93" t="str">
        <v>Compte sans permission versements.create.</v>
      </c>
      <c r="F93" t="str">
        <v>Ouvrir detail comptabilite packing.</v>
      </c>
      <c r="G93" t="str">
        <v>Aucun bouton Payer affiche.</v>
      </c>
      <c r="H93" t="str">
        <v/>
      </c>
      <c r="I93" t="str">
        <v>Haute</v>
      </c>
      <c r="J93" t="str">
        <v>Securite</v>
      </c>
      <c r="K93" t="str">
        <v>NON TESTE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>
        <v>4</v>
      </c>
    </row>
    <row r="94">
      <c r="A94" t="str">
        <v>PK-093</v>
      </c>
      <c r="B94" t="str">
        <v>Comptabilite</v>
      </c>
      <c r="C94" t="str">
        <v>Permissions</v>
      </c>
      <c r="D94" t="str">
        <v>Sans versements.read, action Historique masquee</v>
      </c>
      <c r="E94" t="str">
        <v>Compte sans permission versements.read.</v>
      </c>
      <c r="F94" t="str">
        <v>Ouvrir detail comptabilite packing.</v>
      </c>
      <c r="G94" t="str">
        <v>Aucun bouton Historique affiche.</v>
      </c>
      <c r="H94" t="str">
        <v/>
      </c>
      <c r="I94" t="str">
        <v>Moyenne</v>
      </c>
      <c r="J94" t="str">
        <v>Securite</v>
      </c>
      <c r="K94" t="str">
        <v>NON TESTE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>
        <v>3</v>
      </c>
    </row>
    <row r="95">
      <c r="A95" t="str">
        <v>PK-094</v>
      </c>
      <c r="B95" t="str">
        <v>Comptabilite</v>
      </c>
      <c r="C95" t="str">
        <v>Permissions</v>
      </c>
      <c r="D95" t="str">
        <v>Sans versements.delete, suppression versement indisponible</v>
      </c>
      <c r="E95" t="str">
        <v>Compte sans permission versements.delete.</v>
      </c>
      <c r="F95" t="str">
        <v>Ouvrir historique versements.</v>
      </c>
      <c r="G95" t="str">
        <v>Action supprimer absente dans l historique.</v>
      </c>
      <c r="H95" t="str">
        <v/>
      </c>
      <c r="I95" t="str">
        <v>Moyenne</v>
      </c>
      <c r="J95" t="str">
        <v>Securite</v>
      </c>
      <c r="K95" t="str">
        <v>NON TESTE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>
        <v>3</v>
      </c>
    </row>
    <row r="96">
      <c r="A96" t="str">
        <v>PK-095</v>
      </c>
      <c r="B96" t="str">
        <v>Mobile</v>
      </c>
      <c r="C96" t="str">
        <v>Responsive</v>
      </c>
      <c r="D96" t="str">
        <v>Liste packing mobile: scroll fluide avec cartes</v>
      </c>
      <c r="E96" t="str">
        <v>Executer sur viewport &lt;= 768px.</v>
      </c>
      <c r="F96" t="str">
        <v>Reproduire le scenario: Liste packing mobile: scroll fluide avec cartes.</v>
      </c>
      <c r="G96" t="str">
        <v>Comportement conforme sans debordement ni blocage interaction.</v>
      </c>
      <c r="H96" t="str">
        <v/>
      </c>
      <c r="I96" t="str">
        <v>Moyenne</v>
      </c>
      <c r="J96" t="str">
        <v>UX</v>
      </c>
      <c r="K96" t="str">
        <v>NON TESTE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>
        <v>3</v>
      </c>
    </row>
    <row r="97">
      <c r="A97" t="str">
        <v>PK-096</v>
      </c>
      <c r="B97" t="str">
        <v>Mobile</v>
      </c>
      <c r="C97" t="str">
        <v>Responsive</v>
      </c>
      <c r="D97" t="str">
        <v>Bouton FAB nouveau packing visible seulement si canCreate</v>
      </c>
      <c r="E97" t="str">
        <v>Executer sur viewport &lt;= 768px.</v>
      </c>
      <c r="F97" t="str">
        <v>Reproduire le scenario: Bouton FAB nouveau packing visible seulement si canCreate.</v>
      </c>
      <c r="G97" t="str">
        <v>Comportement conforme sans debordement ni blocage interaction.</v>
      </c>
      <c r="H97" t="str">
        <v/>
      </c>
      <c r="I97" t="str">
        <v>Moyenne</v>
      </c>
      <c r="J97" t="str">
        <v>UX</v>
      </c>
      <c r="K97" t="str">
        <v>NON TESTE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>
        <v>3</v>
      </c>
    </row>
    <row r="98">
      <c r="A98" t="str">
        <v>PK-097</v>
      </c>
      <c r="B98" t="str">
        <v>Mobile</v>
      </c>
      <c r="C98" t="str">
        <v>Responsive</v>
      </c>
      <c r="D98" t="str">
        <v>Menu filtre mobile par statut fonctionne</v>
      </c>
      <c r="E98" t="str">
        <v>Executer sur viewport &lt;= 768px.</v>
      </c>
      <c r="F98" t="str">
        <v>Reproduire le scenario: Menu filtre mobile par statut fonctionne.</v>
      </c>
      <c r="G98" t="str">
        <v>Comportement conforme sans debordement ni blocage interaction.</v>
      </c>
      <c r="H98" t="str">
        <v/>
      </c>
      <c r="I98" t="str">
        <v>Moyenne</v>
      </c>
      <c r="J98" t="str">
        <v>UX</v>
      </c>
      <c r="K98" t="str">
        <v>NON TESTE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>
        <v>3</v>
      </c>
    </row>
    <row r="99">
      <c r="A99" t="str">
        <v>PK-098</v>
      </c>
      <c r="B99" t="str">
        <v>Mobile</v>
      </c>
      <c r="C99" t="str">
        <v>Responsive</v>
      </c>
      <c r="D99" t="str">
        <v>Detail comptabilite mobile: slideover paiement plein ecran</v>
      </c>
      <c r="E99" t="str">
        <v>Executer sur viewport &lt;= 768px.</v>
      </c>
      <c r="F99" t="str">
        <v>Reproduire le scenario: Detail comptabilite mobile: slideover paiement plein ecran.</v>
      </c>
      <c r="G99" t="str">
        <v>Comportement conforme sans debordement ni blocage interaction.</v>
      </c>
      <c r="H99" t="str">
        <v/>
      </c>
      <c r="I99" t="str">
        <v>Moyenne</v>
      </c>
      <c r="J99" t="str">
        <v>UX</v>
      </c>
      <c r="K99" t="str">
        <v>NON TESTE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>
        <v>3</v>
      </c>
    </row>
    <row r="100">
      <c r="A100" t="str">
        <v>PK-099</v>
      </c>
      <c r="B100" t="str">
        <v>Mobile</v>
      </c>
      <c r="C100" t="str">
        <v>Responsive</v>
      </c>
      <c r="D100" t="str">
        <v>Detail comptabilite mobile: slideover historique plein ecran</v>
      </c>
      <c r="E100" t="str">
        <v>Executer sur viewport &lt;= 768px.</v>
      </c>
      <c r="F100" t="str">
        <v>Reproduire le scenario: Detail comptabilite mobile: slideover historique plein ecran.</v>
      </c>
      <c r="G100" t="str">
        <v>Comportement conforme sans debordement ni blocage interaction.</v>
      </c>
      <c r="H100" t="str">
        <v/>
      </c>
      <c r="I100" t="str">
        <v>Moyenne</v>
      </c>
      <c r="J100" t="str">
        <v>UX</v>
      </c>
      <c r="K100" t="str">
        <v>NON TESTE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>
        <v>3</v>
      </c>
    </row>
    <row r="101">
      <c r="A101" t="str">
        <v>PK-100</v>
      </c>
      <c r="B101" t="str">
        <v>Mobile</v>
      </c>
      <c r="C101" t="str">
        <v>Responsive</v>
      </c>
      <c r="D101" t="str">
        <v>Fermeture slideover via bouton close</v>
      </c>
      <c r="E101" t="str">
        <v>Executer sur viewport &lt;= 768px.</v>
      </c>
      <c r="F101" t="str">
        <v>Reproduire le scenario: Fermeture slideover via bouton close.</v>
      </c>
      <c r="G101" t="str">
        <v>Comportement conforme sans debordement ni blocage interaction.</v>
      </c>
      <c r="H101" t="str">
        <v/>
      </c>
      <c r="I101" t="str">
        <v>Moyenne</v>
      </c>
      <c r="J101" t="str">
        <v>UX</v>
      </c>
      <c r="K101" t="str">
        <v>NON TESTE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>
        <v>3</v>
      </c>
    </row>
    <row r="102">
      <c r="A102" t="str">
        <v>PK-101</v>
      </c>
      <c r="B102" t="str">
        <v>Mobile</v>
      </c>
      <c r="C102" t="str">
        <v>Responsive</v>
      </c>
      <c r="D102" t="str">
        <v>Fermeture slideover via clic overlay</v>
      </c>
      <c r="E102" t="str">
        <v>Executer sur viewport &lt;= 768px.</v>
      </c>
      <c r="F102" t="str">
        <v>Reproduire le scenario: Fermeture slideover via clic overlay.</v>
      </c>
      <c r="G102" t="str">
        <v>Comportement conforme sans debordement ni blocage interaction.</v>
      </c>
      <c r="H102" t="str">
        <v/>
      </c>
      <c r="I102" t="str">
        <v>Moyenne</v>
      </c>
      <c r="J102" t="str">
        <v>UX</v>
      </c>
      <c r="K102" t="str">
        <v>NON TESTE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>
        <v>3</v>
      </c>
    </row>
    <row r="103">
      <c r="A103" t="str">
        <v>PK-102</v>
      </c>
      <c r="B103" t="str">
        <v>Messages</v>
      </c>
      <c r="C103" t="str">
        <v>Feedback utilisateur</v>
      </c>
      <c r="D103" t="str">
        <v>Toast succes apres creation</v>
      </c>
      <c r="E103" t="str">
        <v>Scenario correspondant prepare.</v>
      </c>
      <c r="F103" t="str">
        <v>Executer le scenario Toast succes apres creation.</v>
      </c>
      <c r="G103" t="str">
        <v>Toast affiche avec severite et message pertinents.</v>
      </c>
      <c r="H103" t="str">
        <v/>
      </c>
      <c r="I103" t="str">
        <v>Moyenne</v>
      </c>
      <c r="J103" t="str">
        <v>UX</v>
      </c>
      <c r="K103" t="str">
        <v>NON TESTE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>
        <v>3</v>
      </c>
    </row>
    <row r="104">
      <c r="A104" t="str">
        <v>PK-103</v>
      </c>
      <c r="B104" t="str">
        <v>Messages</v>
      </c>
      <c r="C104" t="str">
        <v>Feedback utilisateur</v>
      </c>
      <c r="D104" t="str">
        <v>Toast erreur lors echec creation</v>
      </c>
      <c r="E104" t="str">
        <v>Scenario correspondant prepare.</v>
      </c>
      <c r="F104" t="str">
        <v>Executer le scenario Toast erreur lors echec creation.</v>
      </c>
      <c r="G104" t="str">
        <v>Toast affiche avec severite et message pertinents.</v>
      </c>
      <c r="H104" t="str">
        <v/>
      </c>
      <c r="I104" t="str">
        <v>Moyenne</v>
      </c>
      <c r="J104" t="str">
        <v>UX</v>
      </c>
      <c r="K104" t="str">
        <v>NON TESTE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>
        <v>3</v>
      </c>
    </row>
    <row r="105">
      <c r="A105" t="str">
        <v>PK-104</v>
      </c>
      <c r="B105" t="str">
        <v>Messages</v>
      </c>
      <c r="C105" t="str">
        <v>Feedback utilisateur</v>
      </c>
      <c r="D105" t="str">
        <v>Toast succes apres suppression packing</v>
      </c>
      <c r="E105" t="str">
        <v>Scenario correspondant prepare.</v>
      </c>
      <c r="F105" t="str">
        <v>Executer le scenario Toast succes apres suppression packing.</v>
      </c>
      <c r="G105" t="str">
        <v>Toast affiche avec severite et message pertinents.</v>
      </c>
      <c r="H105" t="str">
        <v/>
      </c>
      <c r="I105" t="str">
        <v>Moyenne</v>
      </c>
      <c r="J105" t="str">
        <v>UX</v>
      </c>
      <c r="K105" t="str">
        <v>NON TESTE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>
        <v>3</v>
      </c>
    </row>
    <row r="106">
      <c r="A106" t="str">
        <v>PK-105</v>
      </c>
      <c r="B106" t="str">
        <v>Messages</v>
      </c>
      <c r="C106" t="str">
        <v>Feedback utilisateur</v>
      </c>
      <c r="D106" t="str">
        <v>Toast erreur lors echec chargement liste</v>
      </c>
      <c r="E106" t="str">
        <v>Scenario correspondant prepare.</v>
      </c>
      <c r="F106" t="str">
        <v>Executer le scenario Toast erreur lors echec chargement liste.</v>
      </c>
      <c r="G106" t="str">
        <v>Toast affiche avec severite et message pertinents.</v>
      </c>
      <c r="H106" t="str">
        <v/>
      </c>
      <c r="I106" t="str">
        <v>Moyenne</v>
      </c>
      <c r="J106" t="str">
        <v>UX</v>
      </c>
      <c r="K106" t="str">
        <v>NON TESTE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>
        <v>3</v>
      </c>
    </row>
    <row r="107">
      <c r="A107" t="str">
        <v>PK-106</v>
      </c>
      <c r="B107" t="str">
        <v>Messages</v>
      </c>
      <c r="C107" t="str">
        <v>Feedback utilisateur</v>
      </c>
      <c r="D107" t="str">
        <v>Toast succes apres versement</v>
      </c>
      <c r="E107" t="str">
        <v>Scenario correspondant prepare.</v>
      </c>
      <c r="F107" t="str">
        <v>Executer le scenario Toast succes apres versement.</v>
      </c>
      <c r="G107" t="str">
        <v>Toast affiche avec severite et message pertinents.</v>
      </c>
      <c r="H107" t="str">
        <v/>
      </c>
      <c r="I107" t="str">
        <v>Moyenne</v>
      </c>
      <c r="J107" t="str">
        <v>UX</v>
      </c>
      <c r="K107" t="str">
        <v>NON TESTE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>
        <v>3</v>
      </c>
    </row>
    <row r="108">
      <c r="A108" t="str">
        <v>PK-107</v>
      </c>
      <c r="B108" t="str">
        <v>Messages</v>
      </c>
      <c r="C108" t="str">
        <v>Feedback utilisateur</v>
      </c>
      <c r="D108" t="str">
        <v>Toast erreur lors echec versement</v>
      </c>
      <c r="E108" t="str">
        <v>Scenario correspondant prepare.</v>
      </c>
      <c r="F108" t="str">
        <v>Executer le scenario Toast erreur lors echec versement.</v>
      </c>
      <c r="G108" t="str">
        <v>Toast affiche avec severite et message pertinents.</v>
      </c>
      <c r="H108" t="str">
        <v/>
      </c>
      <c r="I108" t="str">
        <v>Moyenne</v>
      </c>
      <c r="J108" t="str">
        <v>UX</v>
      </c>
      <c r="K108" t="str">
        <v>NON TESTE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>
        <v>3</v>
      </c>
    </row>
    <row r="109">
      <c r="A109" t="str">
        <v>PK-108</v>
      </c>
      <c r="B109" t="str">
        <v>Robustesse</v>
      </c>
      <c r="C109" t="str">
        <v>Rafraichissement</v>
      </c>
      <c r="D109" t="str">
        <v>Refresh navigateur sur page edition packing</v>
      </c>
      <c r="E109" t="str">
        <v>URL edition /packings/packings-edit/{id} valide.</v>
      </c>
      <c r="F109" t="str">
        <v>Rafraichir la page (F5).</v>
      </c>
      <c r="G109" t="str">
        <v>Donnees se rechargent correctement sans redirection anormale.</v>
      </c>
      <c r="H109" t="str">
        <v/>
      </c>
      <c r="I109" t="str">
        <v>Moyenne</v>
      </c>
      <c r="J109" t="str">
        <v>Robustesse</v>
      </c>
      <c r="K109" t="str">
        <v>NON TESTE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>
        <v>3</v>
      </c>
    </row>
    <row r="110">
      <c r="A110" t="str">
        <v>PK-109</v>
      </c>
      <c r="B110" t="str">
        <v>Robustesse</v>
      </c>
      <c r="C110" t="str">
        <v>Rafraichissement</v>
      </c>
      <c r="D110" t="str">
        <v>Refresh sur detail comptabilite prestataire</v>
      </c>
      <c r="E110" t="str">
        <v>URL detail comptabilite ouverte.</v>
      </c>
      <c r="F110" t="str">
        <v>Rafraichir la page.</v>
      </c>
      <c r="G110" t="str">
        <v>Factures et totaux restent coherents apres reload.</v>
      </c>
      <c r="H110" t="str">
        <v/>
      </c>
      <c r="I110" t="str">
        <v>Moyenne</v>
      </c>
      <c r="J110" t="str">
        <v>Robustesse</v>
      </c>
      <c r="K110" t="str">
        <v>NON TESTE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>
        <v>3</v>
      </c>
    </row>
    <row r="111">
      <c r="A111" t="str">
        <v>PK-110</v>
      </c>
      <c r="B111" t="str">
        <v>Performance</v>
      </c>
      <c r="C111" t="str">
        <v>Liste packing</v>
      </c>
      <c r="D111" t="str">
        <v>Recherche temps reel sur volume eleve</v>
      </c>
      <c r="E111" t="str">
        <v>Jeu &gt; 500 packings.</v>
      </c>
      <c r="F111" t="str">
        <v>Saisir rapidement plusieurs termes dans recherche.</v>
      </c>
      <c r="G111" t="str">
        <v>Filtrage reactif sans gel UI notable.</v>
      </c>
      <c r="H111" t="str">
        <v/>
      </c>
      <c r="I111" t="str">
        <v>Basse</v>
      </c>
      <c r="J111" t="str">
        <v>Performance</v>
      </c>
      <c r="K111" t="str">
        <v>NON TESTE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>
        <v>2</v>
      </c>
    </row>
    <row r="112">
      <c r="A112" t="str">
        <v>PK-111</v>
      </c>
      <c r="B112" t="str">
        <v>Performance</v>
      </c>
      <c r="C112" t="str">
        <v>Comptabilite</v>
      </c>
      <c r="D112" t="str">
        <v>Ouverture detail prestataire avec historique volumineux</v>
      </c>
      <c r="E112" t="str">
        <v>Prestataire avec nombreuses factures et versements.</v>
      </c>
      <c r="F112" t="str">
        <v>Ouvrir detail puis historique.</v>
      </c>
      <c r="G112" t="str">
        <v>Temps de chargement acceptable et UI stable.</v>
      </c>
      <c r="H112" t="str">
        <v/>
      </c>
      <c r="I112" t="str">
        <v>Basse</v>
      </c>
      <c r="J112" t="str">
        <v>Performance</v>
      </c>
      <c r="K112" t="str">
        <v>NON TESTE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>
        <v>2</v>
      </c>
    </row>
    <row r="113">
      <c r="A113" t="str">
        <v>PK-112</v>
      </c>
      <c r="B113" t="str">
        <v>Liste packing</v>
      </c>
      <c r="C113" t="str">
        <v>Affichage statut</v>
      </c>
      <c r="D113" t="str">
        <v>Tag statut A valider (couleur + libelle)</v>
      </c>
      <c r="E113" t="str">
        <v>Au moins un packing en statut a_valider.</v>
      </c>
      <c r="F113" t="str">
        <v>Afficher la ligne en desktop et carte mobile.</v>
      </c>
      <c r="G113" t="str">
        <v>Le libelle et la severite visuelle correspondent au statut.</v>
      </c>
      <c r="H113" t="str">
        <v/>
      </c>
      <c r="I113" t="str">
        <v>Moyenne</v>
      </c>
      <c r="J113" t="str">
        <v>UX</v>
      </c>
      <c r="K113" t="str">
        <v>NON TESTE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>PACKING_STATUT_LABELS + PACKING_STATUT_SEVERITY</v>
      </c>
      <c r="R113">
        <v>3</v>
      </c>
    </row>
    <row r="114">
      <c r="A114" t="str">
        <v>PK-113</v>
      </c>
      <c r="B114" t="str">
        <v>Liste packing</v>
      </c>
      <c r="C114" t="str">
        <v>Affichage statut</v>
      </c>
      <c r="D114" t="str">
        <v>Tag statut Valide (couleur + libelle)</v>
      </c>
      <c r="E114" t="str">
        <v>Au moins un packing en statut valide.</v>
      </c>
      <c r="F114" t="str">
        <v>Afficher la ligne en desktop et carte mobile.</v>
      </c>
      <c r="G114" t="str">
        <v>Le libelle et la severite visuelle correspondent au statut.</v>
      </c>
      <c r="H114" t="str">
        <v/>
      </c>
      <c r="I114" t="str">
        <v>Moyenne</v>
      </c>
      <c r="J114" t="str">
        <v>UX</v>
      </c>
      <c r="K114" t="str">
        <v>NON TESTE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>PACKING_STATUT_LABELS + PACKING_STATUT_SEVERITY</v>
      </c>
      <c r="R114">
        <v>3</v>
      </c>
    </row>
    <row r="115">
      <c r="A115" t="str">
        <v>PK-114</v>
      </c>
      <c r="B115" t="str">
        <v>Liste packing</v>
      </c>
      <c r="C115" t="str">
        <v>Affichage statut</v>
      </c>
      <c r="D115" t="str">
        <v>Tag statut Annule (couleur + libelle)</v>
      </c>
      <c r="E115" t="str">
        <v>Au moins un packing en statut annule.</v>
      </c>
      <c r="F115" t="str">
        <v>Afficher la ligne en desktop et carte mobile.</v>
      </c>
      <c r="G115" t="str">
        <v>Le libelle et la severite visuelle correspondent au statut.</v>
      </c>
      <c r="H115" t="str">
        <v/>
      </c>
      <c r="I115" t="str">
        <v>Moyenne</v>
      </c>
      <c r="J115" t="str">
        <v>UX</v>
      </c>
      <c r="K115" t="str">
        <v>NON TESTE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>PACKING_STATUT_LABELS + PACKING_STATUT_SEVERITY</v>
      </c>
      <c r="R115">
        <v>3</v>
      </c>
    </row>
  </sheetData>
  <autoFilter ref="A1:R115"/>
  <ignoredErrors>
    <ignoredError numberStoredAsText="1" sqref="A1:R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34.83203125" customWidth="1"/>
    <col min="2" max="2" width="16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14.83203125" customWidth="1"/>
  </cols>
  <sheetData>
    <row r="1">
      <c r="A1" t="str">
        <v>Cahier de Recette Packing - Synthese</v>
      </c>
    </row>
    <row r="2">
      <c r="A2" t="str">
        <v>Date de generation</v>
      </c>
      <c r="B2" t="str">
        <v>2026-02-28</v>
      </c>
    </row>
    <row r="4">
      <c r="A4" t="str">
        <v>Indicateur</v>
      </c>
      <c r="B4" t="str">
        <v>Valeur</v>
      </c>
    </row>
    <row r="5">
      <c r="A5" t="str">
        <v>Total cas</v>
      </c>
      <c r="B5">
        <f>COUNTA(Cas_de_recette!A2:A5000)</f>
      </c>
    </row>
    <row r="6">
      <c r="A6" t="str">
        <v>Cas executes (OK + KO)</v>
      </c>
      <c r="B6">
        <f>COUNTIF(Cas_de_recette!J2:J5000,"OK")+COUNTIF(Cas_de_recette!J2:J5000,"KO")</f>
      </c>
    </row>
    <row r="7">
      <c r="A7" t="str">
        <v>Cas OK</v>
      </c>
      <c r="B7">
        <f>COUNTIF(Cas_de_recette!J2:J5000,"OK")</f>
      </c>
    </row>
    <row r="8">
      <c r="A8" t="str">
        <v>Cas KO</v>
      </c>
      <c r="B8">
        <f>COUNTIF(Cas_de_recette!J2:J5000,"KO")</f>
      </c>
    </row>
    <row r="9">
      <c r="A9" t="str">
        <v>Cas BLOQUE</v>
      </c>
      <c r="B9">
        <f>COUNTIF(Cas_de_recette!J2:J5000,"BLOQUE")</f>
      </c>
    </row>
    <row r="10">
      <c r="A10" t="str">
        <v>Cas NON TESTE</v>
      </c>
      <c r="B10">
        <f>COUNTIF(Cas_de_recette!J2:J5000,"NON TESTE")</f>
      </c>
    </row>
    <row r="12">
      <c r="A12" t="str">
        <v>% OK (sur executes)</v>
      </c>
      <c r="B12" s="1">
        <f>IF(B6=0,0,B7/B6)</f>
      </c>
    </row>
    <row r="13">
      <c r="A13" t="str">
        <v>% KO (sur executes)</v>
      </c>
      <c r="B13" s="1">
        <f>IF(B6=0,0,B8/B6)</f>
      </c>
    </row>
    <row r="14">
      <c r="A14" t="str">
        <v>% Couverture execution</v>
      </c>
      <c r="B14" s="1">
        <f>IF(B5=0,0,B6/B5)</f>
      </c>
    </row>
    <row r="16">
      <c r="A16" t="str">
        <v>Score pondere total</v>
      </c>
      <c r="B16">
        <f>SUM(Cas_de_recette!R2:R5000)</f>
      </c>
    </row>
    <row r="17">
      <c r="A17" t="str">
        <v>Score pondere OK</v>
      </c>
      <c r="B17">
        <f>SUMIFS(Cas_de_recette!R2:R5000,Cas_de_recette!J2:J5000,"OK")</f>
      </c>
    </row>
    <row r="18">
      <c r="A18" t="str">
        <v>Score pondere KO</v>
      </c>
      <c r="B18">
        <f>SUMIFS(Cas_de_recette!R2:R5000,Cas_de_recette!J2:J5000,"KO")</f>
      </c>
    </row>
    <row r="19">
      <c r="A19" t="str">
        <v>% OK pondere (sur total)</v>
      </c>
      <c r="B19" s="1">
        <f>IF(B16=0,0,B17/B16)</f>
      </c>
    </row>
    <row r="20">
      <c r="A20" t="str">
        <v>% KO pondere (sur total)</v>
      </c>
      <c r="B20" s="1">
        <f>IF(B16=0,0,B18/B16)</f>
      </c>
    </row>
    <row r="22">
      <c r="A22" t="str">
        <v>Domaine</v>
      </c>
      <c r="B22" t="str">
        <v>Total</v>
      </c>
      <c r="C22" t="str">
        <v>OK</v>
      </c>
      <c r="D22" t="str">
        <v>KO</v>
      </c>
      <c r="E22" t="str">
        <v>BLOQUE</v>
      </c>
      <c r="F22" t="str">
        <v>NON TESTE</v>
      </c>
      <c r="G22" t="str">
        <v>% OK execute</v>
      </c>
    </row>
  </sheetData>
  <ignoredErrors>
    <ignoredError numberStoredAsText="1" sqref="A1:G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90.83203125" customWidth="1"/>
    <col min="2" max="2" width="16.83203125" customWidth="1"/>
  </cols>
  <sheetData>
    <row r="1">
      <c r="A1" t="str">
        <v>Mode d emploi</v>
      </c>
    </row>
    <row r="2">
      <c r="A2" t="str">
        <v>Renseigner la colonne "statut_exec" avec: OK, KO, BLOQUE ou NON TESTE. Les pourcentages dans la feuille Synthese se recalculent automatiquement.</v>
      </c>
    </row>
    <row r="4">
      <c r="A4" t="str">
        <v>Valeurs autorisees - statut_exec</v>
      </c>
    </row>
    <row r="5">
      <c r="A5" t="str">
        <v>OK</v>
      </c>
    </row>
    <row r="6">
      <c r="A6" t="str">
        <v>KO</v>
      </c>
    </row>
    <row r="7">
      <c r="A7" t="str">
        <v>BLOQUE</v>
      </c>
    </row>
    <row r="8">
      <c r="A8" t="str">
        <v>NON TESTE</v>
      </c>
    </row>
    <row r="10">
      <c r="A10" t="str">
        <v>Priorites et poids</v>
      </c>
    </row>
    <row r="11">
      <c r="A11" t="str">
        <v>Priorite</v>
      </c>
      <c r="B11" t="str">
        <v>Poids</v>
      </c>
    </row>
    <row r="12">
      <c r="A12" t="str">
        <v>Critique</v>
      </c>
      <c r="B12">
        <v>5</v>
      </c>
    </row>
    <row r="13">
      <c r="A13" t="str">
        <v>Haute</v>
      </c>
      <c r="B13">
        <v>4</v>
      </c>
    </row>
    <row r="14">
      <c r="A14" t="str">
        <v>Moyenne</v>
      </c>
      <c r="B14">
        <v>3</v>
      </c>
    </row>
    <row r="15">
      <c r="A15" t="str">
        <v>Basse</v>
      </c>
      <c r="B15">
        <v>2</v>
      </c>
    </row>
    <row r="17">
      <c r="A17" t="str">
        <v>Rappel metier packing</v>
      </c>
    </row>
    <row r="18">
      <c r="A18" t="str">
        <v>Montant = nb_rouleaux * prix_par_rouleau</v>
      </c>
    </row>
    <row r="19">
      <c r="A19" t="str">
        <v>Statuts: a_valider, valide, annule</v>
      </c>
    </row>
    <row r="20">
      <c r="A20" t="str">
        <v>Stock insuffisant =&gt; creation refusee</v>
      </c>
    </row>
    <row r="21">
      <c r="A21" t="str">
        <v>Champ montant interdit en entree API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Cas_de_recette</vt:lpstr>
      <vt:lpstr>Synthese</vt:lpstr>
      <vt:lpstr>Parametres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